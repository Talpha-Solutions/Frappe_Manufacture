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isaru Nadeeshan\Downloads\"/>
    </mc:Choice>
  </mc:AlternateContent>
  <xr:revisionPtr revIDLastSave="0" documentId="13_ncr:1_{36A77D7D-A563-4A73-9403-71EEF82BB85C}" xr6:coauthVersionLast="47" xr6:coauthVersionMax="47" xr10:uidLastSave="{00000000-0000-0000-0000-000000000000}"/>
  <bookViews>
    <workbookView xWindow="28680" yWindow="-120" windowWidth="20730" windowHeight="11040" firstSheet="2" activeTab="2" xr2:uid="{00000000-000D-0000-FFFF-FFFF00000000}"/>
  </bookViews>
  <sheets>
    <sheet name="Quantity Sheet" sheetId="1" r:id="rId1"/>
    <sheet name="Spec Sheet" sheetId="2" r:id="rId2"/>
    <sheet name="T1 Manifest" sheetId="3" r:id="rId3"/>
    <sheet name="T1V Manifest" sheetId="4" r:id="rId4"/>
    <sheet name="T2 Manifest" sheetId="5" r:id="rId5"/>
    <sheet name="T3 Manifest" sheetId="6" r:id="rId6"/>
    <sheet name="T1 Robe Manifest" sheetId="7" r:id="rId7"/>
    <sheet name="T1V Robe Manifest" sheetId="8" r:id="rId8"/>
    <sheet name="T2 Robe Manifest" sheetId="9" r:id="rId9"/>
    <sheet name="T3 Robe Manifest" sheetId="10" r:id="rId10"/>
    <sheet name="Type Mapping" sheetId="11" r:id="rId11"/>
    <sheet name="Demo Delivery Schedule" sheetId="12" r:id="rId12"/>
    <sheet name="Task Schedule Template" sheetId="13" r:id="rId13"/>
    <sheet name="Manifest Summary" sheetId="14" r:id="rId14"/>
    <sheet name="Demo Summary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5" l="1" a="1"/>
  <c r="B9" i="15" s="1"/>
  <c r="B8" i="15" a="1"/>
  <c r="B8" i="15" s="1"/>
  <c r="H7" i="15" a="1"/>
  <c r="H7" i="15" s="1"/>
  <c r="G7" i="15" a="1"/>
  <c r="G7" i="15" s="1"/>
  <c r="F7" i="15" a="1"/>
  <c r="F7" i="15" s="1"/>
  <c r="E7" i="15" a="1"/>
  <c r="E7" i="15" s="1"/>
  <c r="B7" i="15" a="1"/>
  <c r="B7" i="15" s="1"/>
  <c r="H6" i="15" a="1"/>
  <c r="H6" i="15" s="1"/>
  <c r="G6" i="15" a="1"/>
  <c r="G6" i="15" s="1"/>
  <c r="F6" i="15" a="1"/>
  <c r="F6" i="15" s="1"/>
  <c r="E6" i="15" a="1"/>
  <c r="E6" i="15" s="1"/>
  <c r="B6" i="15" a="1"/>
  <c r="B6" i="15" s="1"/>
  <c r="H5" i="15" a="1"/>
  <c r="H5" i="15" s="1"/>
  <c r="G5" i="15" a="1"/>
  <c r="G5" i="15" s="1"/>
  <c r="F5" i="15" a="1"/>
  <c r="F5" i="15" s="1"/>
  <c r="E5" i="15" a="1"/>
  <c r="E5" i="15" s="1"/>
  <c r="B5" i="15" a="1"/>
  <c r="B5" i="15" s="1"/>
  <c r="H4" i="15" a="1"/>
  <c r="H4" i="15" s="1"/>
  <c r="H8" i="15" s="1" a="1"/>
  <c r="H8" i="15" s="1"/>
  <c r="G4" i="15" a="1"/>
  <c r="G4" i="15" s="1"/>
  <c r="F4" i="15" a="1"/>
  <c r="F4" i="15" s="1"/>
  <c r="E4" i="15" a="1"/>
  <c r="E4" i="15" s="1"/>
  <c r="B4" i="15" a="1"/>
  <c r="B4" i="15" s="1"/>
  <c r="D9" i="14" a="1"/>
  <c r="D9" i="14" s="1"/>
  <c r="C9" i="14" a="1"/>
  <c r="C9" i="14" s="1"/>
  <c r="D8" i="14" a="1"/>
  <c r="D8" i="14" s="1"/>
  <c r="C8" i="14" a="1"/>
  <c r="C8" i="14" s="1"/>
  <c r="D7" i="14" a="1"/>
  <c r="D7" i="14" s="1"/>
  <c r="C7" i="14" a="1"/>
  <c r="C7" i="14" s="1"/>
  <c r="D6" i="14" a="1"/>
  <c r="D6" i="14" s="1"/>
  <c r="C6" i="14" a="1"/>
  <c r="C6" i="14" s="1"/>
  <c r="D5" i="14" a="1"/>
  <c r="D5" i="14" s="1"/>
  <c r="C5" i="14" a="1"/>
  <c r="C5" i="14" s="1"/>
  <c r="D4" i="14" a="1"/>
  <c r="D4" i="14" s="1"/>
  <c r="C4" i="14" a="1"/>
  <c r="C4" i="14" s="1"/>
  <c r="D3" i="14" a="1"/>
  <c r="D3" i="14" s="1"/>
  <c r="C3" i="14" a="1"/>
  <c r="C3" i="14" s="1"/>
  <c r="D2" i="14" a="1"/>
  <c r="D2" i="14" s="1"/>
  <c r="C2" i="14" a="1"/>
  <c r="C2" i="14" s="1"/>
  <c r="E5" i="11" a="1"/>
  <c r="E5" i="11" s="1"/>
  <c r="E4" i="11" a="1"/>
  <c r="E4" i="11" s="1"/>
  <c r="E3" i="11" a="1"/>
  <c r="E3" i="11" s="1"/>
  <c r="E2" i="11" a="1"/>
  <c r="E2" i="11" s="1"/>
  <c r="F8" i="15" l="1" a="1"/>
  <c r="F8" i="15" s="1"/>
  <c r="E8" i="15" a="1"/>
  <c r="E8" i="15" s="1"/>
  <c r="G8" i="15" a="1"/>
  <c r="G8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<sst xmlns="http://schemas.openxmlformats.org/spreadsheetml/2006/main" count="1136" uniqueCount="350">
  <si>
    <t>Developer</t>
  </si>
  <si>
    <t>Name</t>
  </si>
  <si>
    <t>Number</t>
  </si>
  <si>
    <t>Bed no.</t>
  </si>
  <si>
    <t>Type</t>
  </si>
  <si>
    <t>Kitchen</t>
  </si>
  <si>
    <t>Robe</t>
  </si>
  <si>
    <t>Utility</t>
  </si>
  <si>
    <t>Vanity Unit</t>
  </si>
  <si>
    <t>Pantry</t>
  </si>
  <si>
    <t>MOCKDEV</t>
  </si>
  <si>
    <t>The Avenue MOCKSITE</t>
  </si>
  <si>
    <t>T3</t>
  </si>
  <si>
    <t>T2</t>
  </si>
  <si>
    <t>T1</t>
  </si>
  <si>
    <t>T1V</t>
  </si>
  <si>
    <t>The Lane MOCKSITE</t>
  </si>
  <si>
    <t>Spec Type</t>
  </si>
  <si>
    <t>To Supply</t>
  </si>
  <si>
    <t>Wall Unit Door</t>
  </si>
  <si>
    <t>Foil Wrap Door Light Grey Grain</t>
  </si>
  <si>
    <t>Light Grey U708</t>
  </si>
  <si>
    <t>Wall Unit Carcass</t>
  </si>
  <si>
    <t>Bardolino Oak H1146</t>
  </si>
  <si>
    <t>Tall Unit Door</t>
  </si>
  <si>
    <t>Tall Unit Carcass</t>
  </si>
  <si>
    <t>Bardolino Oak H1147</t>
  </si>
  <si>
    <t>Base Unit Door</t>
  </si>
  <si>
    <t>Base Unit Carcass</t>
  </si>
  <si>
    <t>Bardolino Oak H1148</t>
  </si>
  <si>
    <t>Island Unit Door</t>
  </si>
  <si>
    <t>N/A</t>
  </si>
  <si>
    <t>Indigo Blue</t>
  </si>
  <si>
    <t>Island Unit Carcass</t>
  </si>
  <si>
    <t>Gables</t>
  </si>
  <si>
    <t>Light Grey Grain</t>
  </si>
  <si>
    <t>Tap &amp; Sink</t>
  </si>
  <si>
    <t>Tap</t>
  </si>
  <si>
    <t>Hafele Swan Neck Veronese</t>
  </si>
  <si>
    <t>Sink</t>
  </si>
  <si>
    <t>Top Mounted Single Bowl</t>
  </si>
  <si>
    <t>Flow Restrictor</t>
  </si>
  <si>
    <t>Appliances</t>
  </si>
  <si>
    <t>Canope fan</t>
  </si>
  <si>
    <t>Hanso</t>
  </si>
  <si>
    <t>Hob</t>
  </si>
  <si>
    <t>Indesit - Built in - Ceramic Hob - RI860C</t>
  </si>
  <si>
    <t>Bosch - Ceramic Hob 60cm 4 - PKE61RAA8B</t>
  </si>
  <si>
    <t>Oven</t>
  </si>
  <si>
    <t>Indesit - Single Oven - IO233XUK</t>
  </si>
  <si>
    <t>Bosch - Built-in Single Oven - HHF113BA0B</t>
  </si>
  <si>
    <t>Microwave</t>
  </si>
  <si>
    <t>Daewoo - Freestanding - Microwave E30MXP03</t>
  </si>
  <si>
    <t>Bosch - Built in Microwave - BFL523MB0B</t>
  </si>
  <si>
    <t>Fridge/freezer</t>
  </si>
  <si>
    <t>Indesit - Built in Fridge Freezer - INC18DO11B1</t>
  </si>
  <si>
    <t>Bosch - Integrated - Fridge freezer - KIV87NSE0G</t>
  </si>
  <si>
    <t>Dishwasher</t>
  </si>
  <si>
    <t>Indesit - Built in Dishwasher - DIO3T131FE UK</t>
  </si>
  <si>
    <t>Bosch - Integrated - Dishwasher - SMV2HTX02G</t>
  </si>
  <si>
    <t>Washing Machine</t>
  </si>
  <si>
    <t>Indesit - Washing Machine - IM964MYTIME</t>
  </si>
  <si>
    <t>Bosch - Built in Washing Machine - WIW28502GB</t>
  </si>
  <si>
    <t>Dryer</t>
  </si>
  <si>
    <t>Indesit - Tumble Cond Dryer - FS I2 D81WUK</t>
  </si>
  <si>
    <t>Bosch - Tumble Dryer - WTH85225IE</t>
  </si>
  <si>
    <t>Accessories</t>
  </si>
  <si>
    <t>Bins</t>
  </si>
  <si>
    <t>Eltippi</t>
  </si>
  <si>
    <t>Cutlery</t>
  </si>
  <si>
    <t>Grey Insert</t>
  </si>
  <si>
    <t>Vents</t>
  </si>
  <si>
    <t>Stainless Steel</t>
  </si>
  <si>
    <t>Kitchen Handles</t>
  </si>
  <si>
    <t>Brushed Nickel H50</t>
  </si>
  <si>
    <t>T-Bar</t>
  </si>
  <si>
    <t>Brushed Nickel H51</t>
  </si>
  <si>
    <t>Robes Handles</t>
  </si>
  <si>
    <t>Robes</t>
  </si>
  <si>
    <t>Robe Carcass</t>
  </si>
  <si>
    <t>Robe Door</t>
  </si>
  <si>
    <t>Robe Gables</t>
  </si>
  <si>
    <t>Utility Unit</t>
  </si>
  <si>
    <t>Utility Gable</t>
  </si>
  <si>
    <t>Light Grey U710</t>
  </si>
  <si>
    <t>Light Grey U711</t>
  </si>
  <si>
    <t>Worktops &amp; Splashbacks</t>
  </si>
  <si>
    <t>Kitchen Worktop</t>
  </si>
  <si>
    <t>20mm Ice Crystal</t>
  </si>
  <si>
    <t>Levanto Marble</t>
  </si>
  <si>
    <t>Kitchen Backsplash</t>
  </si>
  <si>
    <t>600mm Ice Crystal</t>
  </si>
  <si>
    <t>Kitchen Upstand</t>
  </si>
  <si>
    <t>Yes</t>
  </si>
  <si>
    <t>Utility Worktop</t>
  </si>
  <si>
    <t>Utility Worktop Upstand</t>
  </si>
  <si>
    <t>Item Number</t>
  </si>
  <si>
    <t>Description</t>
  </si>
  <si>
    <t>Width</t>
  </si>
  <si>
    <t>Height</t>
  </si>
  <si>
    <t>Depth</t>
  </si>
  <si>
    <t>Item Description</t>
  </si>
  <si>
    <t>Room</t>
  </si>
  <si>
    <t>Qty</t>
  </si>
  <si>
    <t>Brushed Nickel Handle H50</t>
  </si>
  <si>
    <t>Kitchen Handle - Brushed Nickel H50</t>
  </si>
  <si>
    <t>Kitchen Accessories</t>
  </si>
  <si>
    <t>B60</t>
  </si>
  <si>
    <t>600mm Highline Base Unit</t>
  </si>
  <si>
    <t>B55</t>
  </si>
  <si>
    <t>550mm Highline Base Unit</t>
  </si>
  <si>
    <t>BS60</t>
  </si>
  <si>
    <t>600mm Sink Unit</t>
  </si>
  <si>
    <t>W60</t>
  </si>
  <si>
    <t>600mm Medium Height Wall Unit</t>
  </si>
  <si>
    <t>WFAN60</t>
  </si>
  <si>
    <t>600mm Medium Height Fan Unit</t>
  </si>
  <si>
    <t>Tall Gable</t>
  </si>
  <si>
    <t>Back Panel</t>
  </si>
  <si>
    <t>Plinth X2</t>
  </si>
  <si>
    <t>Pelmet</t>
  </si>
  <si>
    <t>Filler (100mm)</t>
  </si>
  <si>
    <t>Base Gable</t>
  </si>
  <si>
    <t>Hanso Canopy Fan</t>
  </si>
  <si>
    <t>TM Single Bowl Single Drainer</t>
  </si>
  <si>
    <t>Veronese Swan Neck Tap 577.90.210</t>
  </si>
  <si>
    <t>Ventilation Grill Stainless Steel</t>
  </si>
  <si>
    <t>Ice Crystal Worktop</t>
  </si>
  <si>
    <t>20mm Ice Crystal Kitchen Worktop</t>
  </si>
  <si>
    <t>Ice Crystal Backsplash</t>
  </si>
  <si>
    <t>600mm Ice Crystal Kitchen Backsplash</t>
  </si>
  <si>
    <t>Levanto Utility Worktop</t>
  </si>
  <si>
    <t>Levanto Marble Utility Worktop</t>
  </si>
  <si>
    <t>T-Bar Handle</t>
  </si>
  <si>
    <t>Kitchen Handle - T-Bar</t>
  </si>
  <si>
    <t>Levanto Worktop</t>
  </si>
  <si>
    <t>Levanto Marble Kitchen Worktop</t>
  </si>
  <si>
    <t>Brushed Nickel Handle H51</t>
  </si>
  <si>
    <t>Kitchen Handle - Brushed Nickel H51</t>
  </si>
  <si>
    <t>TFFINT</t>
  </si>
  <si>
    <t>Tall Fridge Freezer Unit</t>
  </si>
  <si>
    <t>PDDL90HOB</t>
  </si>
  <si>
    <t>900mm D/Line Pot Drawer Hob</t>
  </si>
  <si>
    <t>WFAN90</t>
  </si>
  <si>
    <t>900mm Medium Height Fan Unit</t>
  </si>
  <si>
    <t>D/W Door</t>
  </si>
  <si>
    <t>Dishwasher Door</t>
  </si>
  <si>
    <t>D/W Strap 600mm</t>
  </si>
  <si>
    <t>Dishwasher Strap 600mm</t>
  </si>
  <si>
    <t>Indesit Hob RI860C</t>
  </si>
  <si>
    <t>Indesit Built-in Ceramic Hob RI860C</t>
  </si>
  <si>
    <t>Indesit Oven IO233XUK</t>
  </si>
  <si>
    <t>Indesit Single Oven IO233XUK</t>
  </si>
  <si>
    <t>Daewoo Microwave E30MXP03</t>
  </si>
  <si>
    <t>Daewoo Freestanding Microwave E30MXP03</t>
  </si>
  <si>
    <t>Indesit Fridge Freezer INC18DO11B1</t>
  </si>
  <si>
    <t>Indesit Built-in Fridge Freezer INC18DO11B1</t>
  </si>
  <si>
    <t>Indesit Dishwasher DIO3T131FE UK</t>
  </si>
  <si>
    <t>Indesit Built-in Dishwasher DIO3T131FE UK</t>
  </si>
  <si>
    <t>Indesit Washing Machine IM964MYTIME</t>
  </si>
  <si>
    <t>Indesit Dryer FS I2 D81WUK</t>
  </si>
  <si>
    <t>Indesit Tumble Condenser Dryer FS I2 D81WUK</t>
  </si>
  <si>
    <t>32mm Chrome Knob</t>
  </si>
  <si>
    <t>Handles</t>
  </si>
  <si>
    <t>TSOM 460 Micro(Glenveagh 3)</t>
  </si>
  <si>
    <t>WFAN90 (New)</t>
  </si>
  <si>
    <t>Island Gable</t>
  </si>
  <si>
    <t>Plinth</t>
  </si>
  <si>
    <t>Oven Front 70 High</t>
  </si>
  <si>
    <t>Flat Top (100mm) X2</t>
  </si>
  <si>
    <t>Veronese Conical Swan Neck Tap 577.90.210</t>
  </si>
  <si>
    <t>S/S Knob H5OS (X21)</t>
  </si>
  <si>
    <t>Bosch Hob PKE61RAA8B</t>
  </si>
  <si>
    <t>Bosch Ceramic Hob 60cm 4 - PKE61RAA8B</t>
  </si>
  <si>
    <t>Bosch Oven HHF113BA0B</t>
  </si>
  <si>
    <t>Bosch Built-in Single Oven HHF113BA0B</t>
  </si>
  <si>
    <t>Bosch Microwave BFL523MB0B</t>
  </si>
  <si>
    <t>Bosch Built-in Microwave BFL523MB0B</t>
  </si>
  <si>
    <t>Bosch Fridge Freezer KIV87NSE0G</t>
  </si>
  <si>
    <t>Bosch Integrated Fridge Freezer KIV87NSE0G</t>
  </si>
  <si>
    <t>Bosch Dishwasher SMV2HTX02G</t>
  </si>
  <si>
    <t>Bosch Integrated Dishwasher SMV2HTX02G</t>
  </si>
  <si>
    <t>Bosch Washing Machine WIW28502GB</t>
  </si>
  <si>
    <t>Bosch Built-in Washing Machine WIW28502GB</t>
  </si>
  <si>
    <t>Bosch Dryer WTH85225IE</t>
  </si>
  <si>
    <t>Bosch Tumble Dryer WTH85225IE</t>
  </si>
  <si>
    <t>Eltippi Bin</t>
  </si>
  <si>
    <t>Eltippi Kitchen Bin</t>
  </si>
  <si>
    <t>Grey Cutlery Insert</t>
  </si>
  <si>
    <t>Robe Side Panel</t>
  </si>
  <si>
    <t>Light Grey U708 Robe Side Panel</t>
  </si>
  <si>
    <t>Robe Top Panel</t>
  </si>
  <si>
    <t>Light Grey U708 Robe Top Panel</t>
  </si>
  <si>
    <t>Robe Base Panel</t>
  </si>
  <si>
    <t>Light Grey U708 Robe Base Panel</t>
  </si>
  <si>
    <t>Robe Shelf</t>
  </si>
  <si>
    <t>Light Grey U708 Robe Shelf</t>
  </si>
  <si>
    <t>Light Grey U708 Robe Door</t>
  </si>
  <si>
    <t>Robe Gable</t>
  </si>
  <si>
    <t>Light Grey U708 Robe Gable</t>
  </si>
  <si>
    <t>Hanging Rail</t>
  </si>
  <si>
    <t>Wardrobe Hanging Rail</t>
  </si>
  <si>
    <t>Robe Accessories</t>
  </si>
  <si>
    <t>T-Bar Robe Handle</t>
  </si>
  <si>
    <t>Spec Sheet Column</t>
  </si>
  <si>
    <t>Kitchen Manifest Sheet</t>
  </si>
  <si>
    <t>Robe Manifest Sheet</t>
  </si>
  <si>
    <t>Unit Count</t>
  </si>
  <si>
    <t>Default Kitchen Qty</t>
  </si>
  <si>
    <t>Default Robe Qty</t>
  </si>
  <si>
    <t>Default Utility Qty</t>
  </si>
  <si>
    <t>Default Vanity Qty</t>
  </si>
  <si>
    <t>Default Pantry Qty</t>
  </si>
  <si>
    <t>Notes</t>
  </si>
  <si>
    <t>Spec Sheet!B:B</t>
  </si>
  <si>
    <t>T1 Manifest</t>
  </si>
  <si>
    <t>T1 Robe Manifest</t>
  </si>
  <si>
    <t>1-bed layout with utility. Synthetic demo manifest.</t>
  </si>
  <si>
    <t>Spec Sheet!C:C</t>
  </si>
  <si>
    <t>T1V Manifest</t>
  </si>
  <si>
    <t>T1V Robe Manifest</t>
  </si>
  <si>
    <t>1-bed variant with Levanto kitchen worktop and no utility.</t>
  </si>
  <si>
    <t>Spec Sheet!D:D</t>
  </si>
  <si>
    <t>T2 Manifest</t>
  </si>
  <si>
    <t>T2 Robe Manifest</t>
  </si>
  <si>
    <t>2-bed layout with Indesit appliance package.</t>
  </si>
  <si>
    <t>Spec Sheet!E:E</t>
  </si>
  <si>
    <t>T3 Manifest</t>
  </si>
  <si>
    <t>T3 Robe Manifest</t>
  </si>
  <si>
    <t>3-bed layout with island and Bosch appliance package.</t>
  </si>
  <si>
    <t>Project / Site</t>
  </si>
  <si>
    <t>House No.</t>
  </si>
  <si>
    <t>Kitchen Unit ID</t>
  </si>
  <si>
    <t>Planned Delivery Date</t>
  </si>
  <si>
    <t>Delivery Batch</t>
  </si>
  <si>
    <t>AVENUE-H001-KITCHEN</t>
  </si>
  <si>
    <t>BATCH-01</t>
  </si>
  <si>
    <t>AVENUE-H002-KITCHEN</t>
  </si>
  <si>
    <t>AVENUE-H003-KITCHEN</t>
  </si>
  <si>
    <t>AVENUE-H004-KITCHEN</t>
  </si>
  <si>
    <t>AVENUE-H005-KITCHEN</t>
  </si>
  <si>
    <t>BATCH-02</t>
  </si>
  <si>
    <t>AVENUE-H006-KITCHEN</t>
  </si>
  <si>
    <t>AVENUE-H007-KITCHEN</t>
  </si>
  <si>
    <t>AVENUE-H008-KITCHEN</t>
  </si>
  <si>
    <t>AVENUE-H009-KITCHEN</t>
  </si>
  <si>
    <t>BATCH-03</t>
  </si>
  <si>
    <t>AVENUE-H010-KITCHEN</t>
  </si>
  <si>
    <t>AVENUE-H011-KITCHEN</t>
  </si>
  <si>
    <t>AVENUE-H012-KITCHEN</t>
  </si>
  <si>
    <t>AVENUE-H013-KITCHEN</t>
  </si>
  <si>
    <t>BATCH-04</t>
  </si>
  <si>
    <t>AVENUE-H014-KITCHEN</t>
  </si>
  <si>
    <t>AVENUE-H015-KITCHEN</t>
  </si>
  <si>
    <t>AVENUE-H016-KITCHEN</t>
  </si>
  <si>
    <t>AVENUE-H017-KITCHEN</t>
  </si>
  <si>
    <t>BATCH-05</t>
  </si>
  <si>
    <t>AVENUE-H018-KITCHEN</t>
  </si>
  <si>
    <t>AVENUE-H019-KITCHEN</t>
  </si>
  <si>
    <t>AVENUE-H020-KITCHEN</t>
  </si>
  <si>
    <t>AVENUE-H021-KITCHEN</t>
  </si>
  <si>
    <t>BATCH-06</t>
  </si>
  <si>
    <t>AVENUE-H022-KITCHEN</t>
  </si>
  <si>
    <t>AVENUE-H023-KITCHEN</t>
  </si>
  <si>
    <t>AVENUE-H024-KITCHEN</t>
  </si>
  <si>
    <t>LANE-H001-KITCHEN</t>
  </si>
  <si>
    <t>BATCH-07</t>
  </si>
  <si>
    <t>LANE-H002-KITCHEN</t>
  </si>
  <si>
    <t>LANE-H003-KITCHEN</t>
  </si>
  <si>
    <t>LANE-H004-KITCHEN</t>
  </si>
  <si>
    <t>LANE-H005-KITCHEN</t>
  </si>
  <si>
    <t>BATCH-08</t>
  </si>
  <si>
    <t>LANE-H006-KITCHEN</t>
  </si>
  <si>
    <t>LANE-H007-KITCHEN</t>
  </si>
  <si>
    <t>LANE-H008-KITCHEN</t>
  </si>
  <si>
    <t>LANE-H009-KITCHEN</t>
  </si>
  <si>
    <t>BATCH-09</t>
  </si>
  <si>
    <t>LANE-H010-KITCHEN</t>
  </si>
  <si>
    <t>LANE-H011-KITCHEN</t>
  </si>
  <si>
    <t>LANE-H012-KITCHEN</t>
  </si>
  <si>
    <t>LANE-H013-KITCHEN</t>
  </si>
  <si>
    <t>BATCH-10</t>
  </si>
  <si>
    <t>LANE-H014-KITCHEN</t>
  </si>
  <si>
    <t>LANE-H015-KITCHEN</t>
  </si>
  <si>
    <t>LANE-H016-KITCHEN</t>
  </si>
  <si>
    <t>Sequence</t>
  </si>
  <si>
    <t>Stage</t>
  </si>
  <si>
    <t>Start Offset vs Delivery (days)</t>
  </si>
  <si>
    <t>End Offset vs Delivery (days)</t>
  </si>
  <si>
    <t>Department</t>
  </si>
  <si>
    <t>Completion Method</t>
  </si>
  <si>
    <t>Spec Agreed</t>
  </si>
  <si>
    <t>Technical / Commercial</t>
  </si>
  <si>
    <t>Manual approval</t>
  </si>
  <si>
    <t>Project-level or unit-level specification approved.</t>
  </si>
  <si>
    <t>Survey</t>
  </si>
  <si>
    <t>Site Survey</t>
  </si>
  <si>
    <t>Confirm survey</t>
  </si>
  <si>
    <t>Site manager confirms room survey.</t>
  </si>
  <si>
    <t>Drawing</t>
  </si>
  <si>
    <t>Drawing Office</t>
  </si>
  <si>
    <t>Upload drawings</t>
  </si>
  <si>
    <t>Drawing file upload completes stage.</t>
  </si>
  <si>
    <t>Export</t>
  </si>
  <si>
    <t>Export / CNC Prep</t>
  </si>
  <si>
    <t>Print and scan unit QR identifier</t>
  </si>
  <si>
    <t>Identifier QR code is generated and scanned.</t>
  </si>
  <si>
    <t>Manufacture</t>
  </si>
  <si>
    <t>Manufacturing</t>
  </si>
  <si>
    <t>Print and scan manifest QR</t>
  </si>
  <si>
    <t>Manufacturing completion is confirmed from manifest QR.</t>
  </si>
  <si>
    <t>Assembly</t>
  </si>
  <si>
    <t>Scan all cabinet-line and grouped labels</t>
  </si>
  <si>
    <t>All required assembly labels must be scanned.</t>
  </si>
  <si>
    <t>Despatch</t>
  </si>
  <si>
    <t>Scan all labels and upload photos</t>
  </si>
  <si>
    <t>All required labels scanned before load leaves factory.</t>
  </si>
  <si>
    <t>Delivery</t>
  </si>
  <si>
    <t>Delivery day is the scheduling anchor (day 0).</t>
  </si>
  <si>
    <t>Fitting</t>
  </si>
  <si>
    <t>Upload minimum fitting photos</t>
  </si>
  <si>
    <t>Identifier QR used by fitter; minimum photo quota required.</t>
  </si>
  <si>
    <t>Handover</t>
  </si>
  <si>
    <t>Contracts / Handover</t>
  </si>
  <si>
    <t>Upload handover sheet</t>
  </si>
  <si>
    <t>Final handover evidence uploaded.</t>
  </si>
  <si>
    <t>Manifest Sheet</t>
  </si>
  <si>
    <t>Manifest Category</t>
  </si>
  <si>
    <t>Line Count</t>
  </si>
  <si>
    <t>Total Qty</t>
  </si>
  <si>
    <t>Kitchen + Utility</t>
  </si>
  <si>
    <t>Synthetic demo</t>
  </si>
  <si>
    <t>Source screenshot expanded with synthetic appliance rows</t>
  </si>
  <si>
    <t>Per wardrobe</t>
  </si>
  <si>
    <t>Fitzgerald Kitchens Synthetic Demo Dataset Summary</t>
  </si>
  <si>
    <t>Metric</t>
  </si>
  <si>
    <t>Value</t>
  </si>
  <si>
    <t>Units</t>
  </si>
  <si>
    <t>Kitchens</t>
  </si>
  <si>
    <t>Utilities</t>
  </si>
  <si>
    <t>Projects / Sites</t>
  </si>
  <si>
    <t>Kitchen Units</t>
  </si>
  <si>
    <t>Wardrobe Subunits</t>
  </si>
  <si>
    <t>Utility Subunits</t>
  </si>
  <si>
    <t>Vanity Subunits</t>
  </si>
  <si>
    <t>Total</t>
  </si>
  <si>
    <t>Pantry Subunits</t>
  </si>
  <si>
    <t>Kitchen Manifest Templates</t>
  </si>
  <si>
    <t>Wardrobe Manifest Templates</t>
  </si>
  <si>
    <t>This summary is formula-driven. The dataset is suitable for testing the import parser, unit/subunit creation, project-level spec mapping, unit-level manifest snapshots, label generation and delivery-date-based task generation.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</si>
</sst>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indexed="8"/>
      <name val="Carlito"/>
    </font>
    <font>
      <b/>
      <sz val="11"/>
      <color indexed="9"/>
      <name val="Carlito"/>
    </font>
    <font>
      <b/>
      <sz val="11"/>
      <color indexed="8"/>
      <name val="Carlito"/>
    </font>
    <font>
      <b/>
      <sz val="14"/>
      <color indexed="9"/>
      <name val="Carlito"/>
    </font>
    <font>
      <b/>
      <sz val="11"/>
      <color indexed="15"/>
      <name val="Carlito"/>
    </font>
    <font>
      <sz val="11"/>
      <color indexed="17"/>
      <name val="Carlito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</fills>
  <borders count="22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64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/>
    <xf numFmtId="49" fontId="0" fillId="3" borderId="1" xfId="0" applyNumberFormat="1" applyFill="1" applyBorder="1" applyAlignment="1">
      <alignment wrapText="1"/>
    </xf>
    <xf numFmtId="49" fontId="0" fillId="3" borderId="2" xfId="0" applyNumberFormat="1" applyFill="1" applyBorder="1" applyAlignment="1">
      <alignment wrapText="1"/>
    </xf>
    <xf numFmtId="0" fontId="0" fillId="3" borderId="2" xfId="0" applyNumberFormat="1" applyFill="1" applyBorder="1" applyAlignment="1">
      <alignment horizontal="center" wrapText="1"/>
    </xf>
    <xf numFmtId="49" fontId="0" fillId="3" borderId="2" xfId="0" applyNumberFormat="1" applyFill="1" applyBorder="1" applyAlignment="1">
      <alignment horizontal="center" wrapText="1"/>
    </xf>
    <xf numFmtId="0" fontId="0" fillId="3" borderId="3" xfId="0" applyNumberFormat="1" applyFill="1" applyBorder="1" applyAlignment="1">
      <alignment horizontal="center" wrapText="1"/>
    </xf>
    <xf numFmtId="49" fontId="0" fillId="4" borderId="5" xfId="0" applyNumberFormat="1" applyFill="1" applyBorder="1" applyAlignment="1">
      <alignment wrapText="1"/>
    </xf>
    <xf numFmtId="49" fontId="0" fillId="4" borderId="6" xfId="0" applyNumberFormat="1" applyFill="1" applyBorder="1" applyAlignment="1">
      <alignment wrapText="1"/>
    </xf>
    <xf numFmtId="0" fontId="0" fillId="4" borderId="6" xfId="0" applyNumberFormat="1" applyFill="1" applyBorder="1" applyAlignment="1">
      <alignment horizontal="center" wrapText="1"/>
    </xf>
    <xf numFmtId="49" fontId="0" fillId="4" borderId="6" xfId="0" applyNumberFormat="1" applyFill="1" applyBorder="1" applyAlignment="1">
      <alignment horizontal="center" wrapText="1"/>
    </xf>
    <xf numFmtId="0" fontId="0" fillId="4" borderId="7" xfId="0" applyNumberFormat="1" applyFill="1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49" fontId="1" fillId="2" borderId="10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49" fontId="1" fillId="5" borderId="13" xfId="0" applyNumberFormat="1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 vertical="center" wrapText="1"/>
    </xf>
    <xf numFmtId="0" fontId="1" fillId="5" borderId="15" xfId="0" applyFont="1" applyFill="1" applyBorder="1" applyAlignment="1">
      <alignment horizontal="left" vertical="center" wrapText="1"/>
    </xf>
    <xf numFmtId="49" fontId="2" fillId="4" borderId="16" xfId="0" applyNumberFormat="1" applyFont="1" applyFill="1" applyBorder="1" applyAlignment="1">
      <alignment wrapText="1"/>
    </xf>
    <xf numFmtId="49" fontId="0" fillId="4" borderId="16" xfId="0" applyNumberFormat="1" applyFill="1" applyBorder="1" applyAlignment="1">
      <alignment wrapText="1"/>
    </xf>
    <xf numFmtId="49" fontId="2" fillId="4" borderId="9" xfId="0" applyNumberFormat="1" applyFont="1" applyFill="1" applyBorder="1" applyAlignment="1">
      <alignment wrapText="1"/>
    </xf>
    <xf numFmtId="49" fontId="0" fillId="4" borderId="9" xfId="0" applyNumberFormat="1" applyFill="1" applyBorder="1" applyAlignment="1">
      <alignment wrapText="1"/>
    </xf>
    <xf numFmtId="49" fontId="2" fillId="4" borderId="17" xfId="0" applyNumberFormat="1" applyFont="1" applyFill="1" applyBorder="1" applyAlignment="1">
      <alignment wrapText="1"/>
    </xf>
    <xf numFmtId="49" fontId="0" fillId="4" borderId="17" xfId="0" applyNumberFormat="1" applyFill="1" applyBorder="1" applyAlignment="1">
      <alignment wrapText="1"/>
    </xf>
    <xf numFmtId="0" fontId="0" fillId="3" borderId="1" xfId="0" applyNumberFormat="1" applyFill="1" applyBorder="1" applyAlignment="1">
      <alignment horizontal="center" wrapText="1"/>
    </xf>
    <xf numFmtId="0" fontId="0" fillId="4" borderId="5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2" xfId="0" applyNumberFormat="1" applyFill="1" applyBorder="1" applyAlignment="1">
      <alignment wrapText="1"/>
    </xf>
    <xf numFmtId="49" fontId="0" fillId="3" borderId="3" xfId="0" applyNumberFormat="1" applyFill="1" applyBorder="1" applyAlignment="1">
      <alignment wrapText="1"/>
    </xf>
    <xf numFmtId="0" fontId="0" fillId="4" borderId="6" xfId="0" applyNumberFormat="1" applyFill="1" applyBorder="1" applyAlignment="1">
      <alignment wrapText="1"/>
    </xf>
    <xf numFmtId="49" fontId="0" fillId="4" borderId="7" xfId="0" applyNumberFormat="1" applyFill="1" applyBorder="1" applyAlignment="1">
      <alignment wrapText="1"/>
    </xf>
    <xf numFmtId="164" fontId="0" fillId="3" borderId="2" xfId="0" applyNumberFormat="1" applyFill="1" applyBorder="1" applyAlignment="1">
      <alignment wrapText="1"/>
    </xf>
    <xf numFmtId="0" fontId="0" fillId="3" borderId="3" xfId="0" applyNumberFormat="1" applyFill="1" applyBorder="1" applyAlignment="1">
      <alignment wrapText="1"/>
    </xf>
    <xf numFmtId="164" fontId="0" fillId="4" borderId="6" xfId="0" applyNumberFormat="1" applyFill="1" applyBorder="1" applyAlignment="1">
      <alignment wrapText="1"/>
    </xf>
    <xf numFmtId="0" fontId="0" fillId="4" borderId="7" xfId="0" applyNumberFormat="1" applyFill="1" applyBorder="1" applyAlignment="1">
      <alignment wrapText="1"/>
    </xf>
    <xf numFmtId="0" fontId="0" fillId="3" borderId="1" xfId="0" applyNumberFormat="1" applyFill="1" applyBorder="1" applyAlignment="1">
      <alignment wrapText="1"/>
    </xf>
    <xf numFmtId="0" fontId="0" fillId="4" borderId="5" xfId="0" applyNumberFormat="1" applyFill="1" applyBorder="1" applyAlignment="1">
      <alignment wrapText="1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49" fontId="1" fillId="2" borderId="13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0" fontId="0" fillId="0" borderId="20" xfId="0" applyBorder="1"/>
    <xf numFmtId="49" fontId="0" fillId="0" borderId="16" xfId="0" applyNumberFormat="1" applyBorder="1"/>
    <xf numFmtId="0" fontId="0" fillId="0" borderId="16" xfId="0" applyNumberFormat="1" applyBorder="1"/>
    <xf numFmtId="49" fontId="0" fillId="0" borderId="9" xfId="0" applyNumberFormat="1" applyBorder="1"/>
    <xf numFmtId="0" fontId="0" fillId="0" borderId="9" xfId="0" applyNumberFormat="1" applyBorder="1"/>
    <xf numFmtId="49" fontId="0" fillId="0" borderId="17" xfId="0" applyNumberFormat="1" applyBorder="1"/>
    <xf numFmtId="0" fontId="0" fillId="0" borderId="17" xfId="0" applyNumberFormat="1" applyBorder="1"/>
    <xf numFmtId="0" fontId="0" fillId="0" borderId="21" xfId="0" applyBorder="1"/>
    <xf numFmtId="49" fontId="4" fillId="7" borderId="14" xfId="0" applyNumberFormat="1" applyFont="1" applyFill="1" applyBorder="1"/>
    <xf numFmtId="0" fontId="4" fillId="7" borderId="14" xfId="0" applyNumberFormat="1" applyFont="1" applyFill="1" applyBorder="1"/>
    <xf numFmtId="0" fontId="0" fillId="0" borderId="17" xfId="0" applyBorder="1"/>
    <xf numFmtId="49" fontId="3" fillId="6" borderId="10" xfId="0" applyNumberFormat="1" applyFont="1" applyFill="1" applyBorder="1" applyAlignment="1">
      <alignment horizontal="left" vertical="center"/>
    </xf>
    <xf numFmtId="0" fontId="3" fillId="6" borderId="11" xfId="0" applyFont="1" applyFill="1" applyBorder="1" applyAlignment="1">
      <alignment horizontal="left" vertical="center"/>
    </xf>
    <xf numFmtId="49" fontId="5" fillId="8" borderId="13" xfId="0" applyNumberFormat="1" applyFont="1" applyFill="1" applyBorder="1" applyAlignment="1">
      <alignment wrapText="1"/>
    </xf>
    <xf numFmtId="0" fontId="5" fillId="8" borderId="14" xfId="0" applyFont="1" applyFill="1" applyBorder="1" applyAlignment="1">
      <alignment wrapText="1"/>
    </xf>
    <xf numFmtId="0" fontId="5" fillId="8" borderId="13" xfId="0" applyFont="1" applyFill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9BD5"/>
      <rgbColor rgb="FF729FB3"/>
      <rgbColor rgb="FFAAAAAA"/>
      <rgbColor rgb="FFD0DFE5"/>
      <rgbColor rgb="FF0070C0"/>
      <rgbColor rgb="FF0F4C81"/>
      <rgbColor rgb="FFD9EAF7"/>
      <rgbColor rgb="FF7F6000"/>
      <rgbColor rgb="FFFFF2CC"/>
      <rgbColor rgb="FFD9D9D9"/>
      <rgbColor rgb="FF878787"/>
      <rgbColor rgb="FFCCCCCC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i="0" u="none" strike="noStrike">
                <a:solidFill>
                  <a:srgbClr val="000000"/>
                </a:solidFill>
                <a:latin typeface="Calibri"/>
              </a:defRPr>
            </a:pPr>
            <a:r>
              <a:rPr sz="1800" b="1" i="0" u="none" strike="noStrike">
                <a:solidFill>
                  <a:srgbClr val="000000"/>
                </a:solidFill>
                <a:latin typeface="Calibri"/>
              </a:rPr>
              <a:t>Demo Units and Subunits by Type</a:t>
            </a:r>
          </a:p>
        </c:rich>
      </c:tx>
      <c:layout>
        <c:manualLayout>
          <c:xMode val="edge"/>
          <c:yMode val="edge"/>
          <c:x val="0.23020399999999999"/>
          <c:y val="0"/>
          <c:w val="0.53959100000000004"/>
          <c:h val="9.5671000000000006E-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6.2622200000000003E-2"/>
          <c:y val="9.5671000000000006E-2"/>
          <c:w val="0.93237800000000004"/>
          <c:h val="0.78662100000000001"/>
        </c:manualLayout>
      </c:layout>
      <c:barChart>
        <c:barDir val="col"/>
        <c:grouping val="clustered"/>
        <c:varyColors val="0"/>
        <c:ser>
          <c:idx val="0"/>
          <c:order val="0"/>
          <c:tx>
            <c:v>Units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'Demo Summary'!$D$4:$D$7</c:f>
              <c:strCache>
                <c:ptCount val="4"/>
                <c:pt idx="0">
                  <c:v>T1</c:v>
                </c:pt>
                <c:pt idx="1">
                  <c:v>T1V</c:v>
                </c:pt>
                <c:pt idx="2">
                  <c:v>T2</c:v>
                </c:pt>
                <c:pt idx="3">
                  <c:v>T3</c:v>
                </c:pt>
              </c:strCache>
            </c:strRef>
          </c:cat>
          <c:val>
            <c:numRef>
              <c:f>'Demo Summary'!$E$4:$E$7</c:f>
              <c:numCache>
                <c:formatCode>General</c:formatCode>
                <c:ptCount val="4"/>
                <c:pt idx="0">
                  <c:v>9</c:v>
                </c:pt>
                <c:pt idx="1">
                  <c:v>7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D-4499-AF64-53D60A4C0FAE}"/>
            </c:ext>
          </c:extLst>
        </c:ser>
        <c:ser>
          <c:idx val="1"/>
          <c:order val="1"/>
          <c:tx>
            <c:v>Kitchens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'Demo Summary'!$D$4:$D$7</c:f>
              <c:strCache>
                <c:ptCount val="4"/>
                <c:pt idx="0">
                  <c:v>T1</c:v>
                </c:pt>
                <c:pt idx="1">
                  <c:v>T1V</c:v>
                </c:pt>
                <c:pt idx="2">
                  <c:v>T2</c:v>
                </c:pt>
                <c:pt idx="3">
                  <c:v>T3</c:v>
                </c:pt>
              </c:strCache>
            </c:strRef>
          </c:cat>
          <c:val>
            <c:numRef>
              <c:f>'Demo Summary'!$F$4:$F$7</c:f>
              <c:numCache>
                <c:formatCode>General</c:formatCode>
                <c:ptCount val="4"/>
                <c:pt idx="0">
                  <c:v>9</c:v>
                </c:pt>
                <c:pt idx="1">
                  <c:v>7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D-4499-AF64-53D60A4C0FAE}"/>
            </c:ext>
          </c:extLst>
        </c:ser>
        <c:ser>
          <c:idx val="2"/>
          <c:order val="2"/>
          <c:tx>
            <c:v>Robes</c:v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'Demo Summary'!$D$4:$D$7</c:f>
              <c:strCache>
                <c:ptCount val="4"/>
                <c:pt idx="0">
                  <c:v>T1</c:v>
                </c:pt>
                <c:pt idx="1">
                  <c:v>T1V</c:v>
                </c:pt>
                <c:pt idx="2">
                  <c:v>T2</c:v>
                </c:pt>
                <c:pt idx="3">
                  <c:v>T3</c:v>
                </c:pt>
              </c:strCache>
            </c:strRef>
          </c:cat>
          <c:val>
            <c:numRef>
              <c:f>'Demo Summary'!$G$4:$G$7</c:f>
              <c:numCache>
                <c:formatCode>General</c:formatCode>
                <c:ptCount val="4"/>
                <c:pt idx="0">
                  <c:v>9</c:v>
                </c:pt>
                <c:pt idx="1">
                  <c:v>7</c:v>
                </c:pt>
                <c:pt idx="2">
                  <c:v>28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9D-4499-AF64-53D60A4C0FAE}"/>
            </c:ext>
          </c:extLst>
        </c:ser>
        <c:ser>
          <c:idx val="3"/>
          <c:order val="3"/>
          <c:tx>
            <c:v>Utilities</c:v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'Demo Summary'!$D$4:$D$7</c:f>
              <c:strCache>
                <c:ptCount val="4"/>
                <c:pt idx="0">
                  <c:v>T1</c:v>
                </c:pt>
                <c:pt idx="1">
                  <c:v>T1V</c:v>
                </c:pt>
                <c:pt idx="2">
                  <c:v>T2</c:v>
                </c:pt>
                <c:pt idx="3">
                  <c:v>T3</c:v>
                </c:pt>
              </c:strCache>
            </c:strRef>
          </c:cat>
          <c:val>
            <c:numRef>
              <c:f>'Demo Summary'!$H$4:$H$7</c:f>
              <c:numCache>
                <c:formatCode>General</c:formatCode>
                <c:ptCount val="4"/>
                <c:pt idx="0">
                  <c:v>9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9D-4499-AF64-53D60A4C0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majorGridlines>
          <c:spPr>
            <a:ln w="12700" cap="flat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4734552"/>
        <c:crosses val="autoZero"/>
        <c:crossBetween val="between"/>
        <c:majorUnit val="7.5"/>
        <c:minorUnit val="3.7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7488699999999999"/>
          <c:y val="0.95287299999999997"/>
          <c:w val="0.48398999999999998"/>
          <c:h val="4.7126500000000002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1000" b="0" i="0" u="none" strike="noStrike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638055</xdr:colOff>
      <xdr:row>2</xdr:row>
      <xdr:rowOff>39323</xdr:rowOff>
    </xdr:from>
    <xdr:to>
      <xdr:col>17</xdr:col>
      <xdr:colOff>508000</xdr:colOff>
      <xdr:row>17</xdr:row>
      <xdr:rowOff>45630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showGridLines="0" workbookViewId="0"/>
  </sheetViews>
  <sheetFormatPr defaultColWidth="8.875" defaultRowHeight="15" customHeight="1"/>
  <cols>
    <col min="1" max="1" width="16" style="1" customWidth="1"/>
    <col min="2" max="2" width="26" style="1" customWidth="1"/>
    <col min="3" max="8" width="10" style="1" customWidth="1"/>
    <col min="9" max="9" width="12" style="1" customWidth="1"/>
    <col min="10" max="10" width="10" style="1" customWidth="1"/>
    <col min="11" max="12" width="8.875" style="1" customWidth="1"/>
    <col min="13" max="16384" width="8.875" style="1"/>
  </cols>
  <sheetData>
    <row r="1" spans="1:1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</row>
    <row r="2" spans="1:11" ht="15" customHeight="1">
      <c r="A2" s="6" t="s">
        <v>10</v>
      </c>
      <c r="B2" s="7" t="s">
        <v>11</v>
      </c>
      <c r="C2" s="8">
        <v>1</v>
      </c>
      <c r="D2" s="8">
        <v>3</v>
      </c>
      <c r="E2" s="9" t="s">
        <v>12</v>
      </c>
      <c r="F2" s="8">
        <v>1</v>
      </c>
      <c r="G2" s="8">
        <v>3</v>
      </c>
      <c r="H2" s="8">
        <v>1</v>
      </c>
      <c r="I2" s="8">
        <v>1</v>
      </c>
      <c r="J2" s="10">
        <v>1</v>
      </c>
      <c r="K2" s="5"/>
    </row>
    <row r="3" spans="1:11" ht="15" customHeight="1">
      <c r="A3" s="11" t="s">
        <v>10</v>
      </c>
      <c r="B3" s="12" t="s">
        <v>11</v>
      </c>
      <c r="C3" s="13">
        <v>2</v>
      </c>
      <c r="D3" s="13">
        <v>3</v>
      </c>
      <c r="E3" s="14" t="s">
        <v>12</v>
      </c>
      <c r="F3" s="13">
        <v>1</v>
      </c>
      <c r="G3" s="13">
        <v>3</v>
      </c>
      <c r="H3" s="13">
        <v>1</v>
      </c>
      <c r="I3" s="13">
        <v>1</v>
      </c>
      <c r="J3" s="15">
        <v>1</v>
      </c>
      <c r="K3" s="5"/>
    </row>
    <row r="4" spans="1:11" ht="15" customHeight="1">
      <c r="A4" s="6" t="s">
        <v>10</v>
      </c>
      <c r="B4" s="7" t="s">
        <v>11</v>
      </c>
      <c r="C4" s="8">
        <v>3</v>
      </c>
      <c r="D4" s="8">
        <v>3</v>
      </c>
      <c r="E4" s="9" t="s">
        <v>12</v>
      </c>
      <c r="F4" s="8">
        <v>1</v>
      </c>
      <c r="G4" s="8">
        <v>3</v>
      </c>
      <c r="H4" s="8">
        <v>1</v>
      </c>
      <c r="I4" s="8">
        <v>1</v>
      </c>
      <c r="J4" s="10">
        <v>1</v>
      </c>
      <c r="K4" s="5"/>
    </row>
    <row r="5" spans="1:11" ht="15" customHeight="1">
      <c r="A5" s="11" t="s">
        <v>10</v>
      </c>
      <c r="B5" s="12" t="s">
        <v>11</v>
      </c>
      <c r="C5" s="13">
        <v>4</v>
      </c>
      <c r="D5" s="13">
        <v>3</v>
      </c>
      <c r="E5" s="14" t="s">
        <v>12</v>
      </c>
      <c r="F5" s="13">
        <v>1</v>
      </c>
      <c r="G5" s="13">
        <v>3</v>
      </c>
      <c r="H5" s="13">
        <v>1</v>
      </c>
      <c r="I5" s="13">
        <v>1</v>
      </c>
      <c r="J5" s="15">
        <v>1</v>
      </c>
      <c r="K5" s="5"/>
    </row>
    <row r="6" spans="1:11" ht="15" customHeight="1">
      <c r="A6" s="6" t="s">
        <v>10</v>
      </c>
      <c r="B6" s="7" t="s">
        <v>11</v>
      </c>
      <c r="C6" s="8">
        <v>5</v>
      </c>
      <c r="D6" s="8">
        <v>3</v>
      </c>
      <c r="E6" s="9" t="s">
        <v>12</v>
      </c>
      <c r="F6" s="8">
        <v>1</v>
      </c>
      <c r="G6" s="8">
        <v>3</v>
      </c>
      <c r="H6" s="8">
        <v>1</v>
      </c>
      <c r="I6" s="8">
        <v>1</v>
      </c>
      <c r="J6" s="10">
        <v>1</v>
      </c>
      <c r="K6" s="5"/>
    </row>
    <row r="7" spans="1:11" ht="15" customHeight="1">
      <c r="A7" s="11" t="s">
        <v>10</v>
      </c>
      <c r="B7" s="12" t="s">
        <v>11</v>
      </c>
      <c r="C7" s="13">
        <v>6</v>
      </c>
      <c r="D7" s="13">
        <v>3</v>
      </c>
      <c r="E7" s="14" t="s">
        <v>12</v>
      </c>
      <c r="F7" s="13">
        <v>1</v>
      </c>
      <c r="G7" s="13">
        <v>3</v>
      </c>
      <c r="H7" s="13">
        <v>1</v>
      </c>
      <c r="I7" s="13">
        <v>1</v>
      </c>
      <c r="J7" s="15">
        <v>1</v>
      </c>
      <c r="K7" s="5"/>
    </row>
    <row r="8" spans="1:11" ht="15" customHeight="1">
      <c r="A8" s="6" t="s">
        <v>10</v>
      </c>
      <c r="B8" s="7" t="s">
        <v>11</v>
      </c>
      <c r="C8" s="8">
        <v>7</v>
      </c>
      <c r="D8" s="8">
        <v>2</v>
      </c>
      <c r="E8" s="9" t="s">
        <v>13</v>
      </c>
      <c r="F8" s="8">
        <v>1</v>
      </c>
      <c r="G8" s="8">
        <v>2</v>
      </c>
      <c r="H8" s="8">
        <v>1</v>
      </c>
      <c r="I8" s="8">
        <v>0</v>
      </c>
      <c r="J8" s="10">
        <v>0</v>
      </c>
      <c r="K8" s="5"/>
    </row>
    <row r="9" spans="1:11" ht="15" customHeight="1">
      <c r="A9" s="11" t="s">
        <v>10</v>
      </c>
      <c r="B9" s="12" t="s">
        <v>11</v>
      </c>
      <c r="C9" s="13">
        <v>8</v>
      </c>
      <c r="D9" s="13">
        <v>2</v>
      </c>
      <c r="E9" s="14" t="s">
        <v>13</v>
      </c>
      <c r="F9" s="13">
        <v>1</v>
      </c>
      <c r="G9" s="13">
        <v>2</v>
      </c>
      <c r="H9" s="13">
        <v>1</v>
      </c>
      <c r="I9" s="13">
        <v>0</v>
      </c>
      <c r="J9" s="15">
        <v>0</v>
      </c>
      <c r="K9" s="5"/>
    </row>
    <row r="10" spans="1:11" ht="15" customHeight="1">
      <c r="A10" s="6" t="s">
        <v>10</v>
      </c>
      <c r="B10" s="7" t="s">
        <v>11</v>
      </c>
      <c r="C10" s="8">
        <v>9</v>
      </c>
      <c r="D10" s="8">
        <v>2</v>
      </c>
      <c r="E10" s="9" t="s">
        <v>13</v>
      </c>
      <c r="F10" s="8">
        <v>1</v>
      </c>
      <c r="G10" s="8">
        <v>2</v>
      </c>
      <c r="H10" s="8">
        <v>1</v>
      </c>
      <c r="I10" s="8">
        <v>0</v>
      </c>
      <c r="J10" s="10">
        <v>0</v>
      </c>
      <c r="K10" s="5"/>
    </row>
    <row r="11" spans="1:11" ht="15" customHeight="1">
      <c r="A11" s="11" t="s">
        <v>10</v>
      </c>
      <c r="B11" s="12" t="s">
        <v>11</v>
      </c>
      <c r="C11" s="13">
        <v>10</v>
      </c>
      <c r="D11" s="13">
        <v>2</v>
      </c>
      <c r="E11" s="14" t="s">
        <v>13</v>
      </c>
      <c r="F11" s="13">
        <v>1</v>
      </c>
      <c r="G11" s="13">
        <v>2</v>
      </c>
      <c r="H11" s="13">
        <v>1</v>
      </c>
      <c r="I11" s="13">
        <v>0</v>
      </c>
      <c r="J11" s="15">
        <v>0</v>
      </c>
      <c r="K11" s="5"/>
    </row>
    <row r="12" spans="1:11" ht="15" customHeight="1">
      <c r="A12" s="6" t="s">
        <v>10</v>
      </c>
      <c r="B12" s="7" t="s">
        <v>11</v>
      </c>
      <c r="C12" s="8">
        <v>11</v>
      </c>
      <c r="D12" s="8">
        <v>2</v>
      </c>
      <c r="E12" s="9" t="s">
        <v>13</v>
      </c>
      <c r="F12" s="8">
        <v>1</v>
      </c>
      <c r="G12" s="8">
        <v>2</v>
      </c>
      <c r="H12" s="8">
        <v>1</v>
      </c>
      <c r="I12" s="8">
        <v>0</v>
      </c>
      <c r="J12" s="10">
        <v>0</v>
      </c>
      <c r="K12" s="5"/>
    </row>
    <row r="13" spans="1:11" ht="15" customHeight="1">
      <c r="A13" s="11" t="s">
        <v>10</v>
      </c>
      <c r="B13" s="12" t="s">
        <v>11</v>
      </c>
      <c r="C13" s="13">
        <v>12</v>
      </c>
      <c r="D13" s="13">
        <v>2</v>
      </c>
      <c r="E13" s="14" t="s">
        <v>13</v>
      </c>
      <c r="F13" s="13">
        <v>1</v>
      </c>
      <c r="G13" s="13">
        <v>2</v>
      </c>
      <c r="H13" s="13">
        <v>1</v>
      </c>
      <c r="I13" s="13">
        <v>0</v>
      </c>
      <c r="J13" s="15">
        <v>0</v>
      </c>
      <c r="K13" s="5"/>
    </row>
    <row r="14" spans="1:11" ht="15" customHeight="1">
      <c r="A14" s="6" t="s">
        <v>10</v>
      </c>
      <c r="B14" s="7" t="s">
        <v>11</v>
      </c>
      <c r="C14" s="8">
        <v>13</v>
      </c>
      <c r="D14" s="8">
        <v>2</v>
      </c>
      <c r="E14" s="9" t="s">
        <v>13</v>
      </c>
      <c r="F14" s="8">
        <v>1</v>
      </c>
      <c r="G14" s="8">
        <v>2</v>
      </c>
      <c r="H14" s="8">
        <v>1</v>
      </c>
      <c r="I14" s="8">
        <v>0</v>
      </c>
      <c r="J14" s="10">
        <v>0</v>
      </c>
      <c r="K14" s="5"/>
    </row>
    <row r="15" spans="1:11" ht="15" customHeight="1">
      <c r="A15" s="11" t="s">
        <v>10</v>
      </c>
      <c r="B15" s="12" t="s">
        <v>11</v>
      </c>
      <c r="C15" s="13">
        <v>14</v>
      </c>
      <c r="D15" s="13">
        <v>2</v>
      </c>
      <c r="E15" s="14" t="s">
        <v>13</v>
      </c>
      <c r="F15" s="13">
        <v>1</v>
      </c>
      <c r="G15" s="13">
        <v>2</v>
      </c>
      <c r="H15" s="13">
        <v>1</v>
      </c>
      <c r="I15" s="13">
        <v>0</v>
      </c>
      <c r="J15" s="15">
        <v>0</v>
      </c>
      <c r="K15" s="5"/>
    </row>
    <row r="16" spans="1:11" ht="15" customHeight="1">
      <c r="A16" s="6" t="s">
        <v>10</v>
      </c>
      <c r="B16" s="7" t="s">
        <v>11</v>
      </c>
      <c r="C16" s="8">
        <v>15</v>
      </c>
      <c r="D16" s="8">
        <v>1</v>
      </c>
      <c r="E16" s="9" t="s">
        <v>14</v>
      </c>
      <c r="F16" s="8">
        <v>1</v>
      </c>
      <c r="G16" s="8">
        <v>1</v>
      </c>
      <c r="H16" s="8">
        <v>1</v>
      </c>
      <c r="I16" s="8">
        <v>0</v>
      </c>
      <c r="J16" s="10">
        <v>0</v>
      </c>
      <c r="K16" s="5"/>
    </row>
    <row r="17" spans="1:11" ht="15" customHeight="1">
      <c r="A17" s="11" t="s">
        <v>10</v>
      </c>
      <c r="B17" s="12" t="s">
        <v>11</v>
      </c>
      <c r="C17" s="13">
        <v>16</v>
      </c>
      <c r="D17" s="13">
        <v>1</v>
      </c>
      <c r="E17" s="14" t="s">
        <v>14</v>
      </c>
      <c r="F17" s="13">
        <v>1</v>
      </c>
      <c r="G17" s="13">
        <v>1</v>
      </c>
      <c r="H17" s="13">
        <v>1</v>
      </c>
      <c r="I17" s="13">
        <v>0</v>
      </c>
      <c r="J17" s="15">
        <v>0</v>
      </c>
      <c r="K17" s="5"/>
    </row>
    <row r="18" spans="1:11" ht="15" customHeight="1">
      <c r="A18" s="6" t="s">
        <v>10</v>
      </c>
      <c r="B18" s="7" t="s">
        <v>11</v>
      </c>
      <c r="C18" s="8">
        <v>17</v>
      </c>
      <c r="D18" s="8">
        <v>1</v>
      </c>
      <c r="E18" s="9" t="s">
        <v>14</v>
      </c>
      <c r="F18" s="8">
        <v>1</v>
      </c>
      <c r="G18" s="8">
        <v>1</v>
      </c>
      <c r="H18" s="8">
        <v>1</v>
      </c>
      <c r="I18" s="8">
        <v>0</v>
      </c>
      <c r="J18" s="10">
        <v>0</v>
      </c>
      <c r="K18" s="5"/>
    </row>
    <row r="19" spans="1:11" ht="15" customHeight="1">
      <c r="A19" s="11" t="s">
        <v>10</v>
      </c>
      <c r="B19" s="12" t="s">
        <v>11</v>
      </c>
      <c r="C19" s="13">
        <v>18</v>
      </c>
      <c r="D19" s="13">
        <v>1</v>
      </c>
      <c r="E19" s="14" t="s">
        <v>14</v>
      </c>
      <c r="F19" s="13">
        <v>1</v>
      </c>
      <c r="G19" s="13">
        <v>1</v>
      </c>
      <c r="H19" s="13">
        <v>1</v>
      </c>
      <c r="I19" s="13">
        <v>0</v>
      </c>
      <c r="J19" s="15">
        <v>0</v>
      </c>
      <c r="K19" s="5"/>
    </row>
    <row r="20" spans="1:11" ht="15" customHeight="1">
      <c r="A20" s="6" t="s">
        <v>10</v>
      </c>
      <c r="B20" s="7" t="s">
        <v>11</v>
      </c>
      <c r="C20" s="8">
        <v>19</v>
      </c>
      <c r="D20" s="8">
        <v>1</v>
      </c>
      <c r="E20" s="9" t="s">
        <v>14</v>
      </c>
      <c r="F20" s="8">
        <v>1</v>
      </c>
      <c r="G20" s="8">
        <v>1</v>
      </c>
      <c r="H20" s="8">
        <v>1</v>
      </c>
      <c r="I20" s="8">
        <v>0</v>
      </c>
      <c r="J20" s="10">
        <v>0</v>
      </c>
      <c r="K20" s="5"/>
    </row>
    <row r="21" spans="1:11" ht="15" customHeight="1">
      <c r="A21" s="11" t="s">
        <v>10</v>
      </c>
      <c r="B21" s="12" t="s">
        <v>11</v>
      </c>
      <c r="C21" s="13">
        <v>20</v>
      </c>
      <c r="D21" s="13">
        <v>1</v>
      </c>
      <c r="E21" s="14" t="s">
        <v>15</v>
      </c>
      <c r="F21" s="13">
        <v>1</v>
      </c>
      <c r="G21" s="13">
        <v>1</v>
      </c>
      <c r="H21" s="13">
        <v>0</v>
      </c>
      <c r="I21" s="13">
        <v>0</v>
      </c>
      <c r="J21" s="15">
        <v>0</v>
      </c>
      <c r="K21" s="5"/>
    </row>
    <row r="22" spans="1:11" ht="15" customHeight="1">
      <c r="A22" s="6" t="s">
        <v>10</v>
      </c>
      <c r="B22" s="7" t="s">
        <v>11</v>
      </c>
      <c r="C22" s="8">
        <v>21</v>
      </c>
      <c r="D22" s="8">
        <v>1</v>
      </c>
      <c r="E22" s="9" t="s">
        <v>15</v>
      </c>
      <c r="F22" s="8">
        <v>1</v>
      </c>
      <c r="G22" s="8">
        <v>1</v>
      </c>
      <c r="H22" s="8">
        <v>0</v>
      </c>
      <c r="I22" s="8">
        <v>0</v>
      </c>
      <c r="J22" s="10">
        <v>0</v>
      </c>
      <c r="K22" s="5"/>
    </row>
    <row r="23" spans="1:11" ht="15" customHeight="1">
      <c r="A23" s="11" t="s">
        <v>10</v>
      </c>
      <c r="B23" s="12" t="s">
        <v>11</v>
      </c>
      <c r="C23" s="13">
        <v>22</v>
      </c>
      <c r="D23" s="13">
        <v>1</v>
      </c>
      <c r="E23" s="14" t="s">
        <v>15</v>
      </c>
      <c r="F23" s="13">
        <v>1</v>
      </c>
      <c r="G23" s="13">
        <v>1</v>
      </c>
      <c r="H23" s="13">
        <v>0</v>
      </c>
      <c r="I23" s="13">
        <v>0</v>
      </c>
      <c r="J23" s="15">
        <v>0</v>
      </c>
      <c r="K23" s="5"/>
    </row>
    <row r="24" spans="1:11" ht="15" customHeight="1">
      <c r="A24" s="6" t="s">
        <v>10</v>
      </c>
      <c r="B24" s="7" t="s">
        <v>11</v>
      </c>
      <c r="C24" s="8">
        <v>23</v>
      </c>
      <c r="D24" s="8">
        <v>1</v>
      </c>
      <c r="E24" s="9" t="s">
        <v>15</v>
      </c>
      <c r="F24" s="8">
        <v>1</v>
      </c>
      <c r="G24" s="8">
        <v>1</v>
      </c>
      <c r="H24" s="8">
        <v>0</v>
      </c>
      <c r="I24" s="8">
        <v>0</v>
      </c>
      <c r="J24" s="10">
        <v>0</v>
      </c>
      <c r="K24" s="5"/>
    </row>
    <row r="25" spans="1:11" ht="15" customHeight="1">
      <c r="A25" s="11" t="s">
        <v>10</v>
      </c>
      <c r="B25" s="12" t="s">
        <v>11</v>
      </c>
      <c r="C25" s="13">
        <v>24</v>
      </c>
      <c r="D25" s="13">
        <v>1</v>
      </c>
      <c r="E25" s="14" t="s">
        <v>15</v>
      </c>
      <c r="F25" s="13">
        <v>1</v>
      </c>
      <c r="G25" s="13">
        <v>1</v>
      </c>
      <c r="H25" s="13">
        <v>0</v>
      </c>
      <c r="I25" s="13">
        <v>0</v>
      </c>
      <c r="J25" s="15">
        <v>0</v>
      </c>
      <c r="K25" s="5"/>
    </row>
    <row r="26" spans="1:11" ht="15" customHeight="1">
      <c r="A26" s="6" t="s">
        <v>10</v>
      </c>
      <c r="B26" s="7" t="s">
        <v>16</v>
      </c>
      <c r="C26" s="8">
        <v>1</v>
      </c>
      <c r="D26" s="8">
        <v>3</v>
      </c>
      <c r="E26" s="9" t="s">
        <v>12</v>
      </c>
      <c r="F26" s="8">
        <v>1</v>
      </c>
      <c r="G26" s="8">
        <v>3</v>
      </c>
      <c r="H26" s="8">
        <v>1</v>
      </c>
      <c r="I26" s="8">
        <v>1</v>
      </c>
      <c r="J26" s="10">
        <v>1</v>
      </c>
      <c r="K26" s="5"/>
    </row>
    <row r="27" spans="1:11" ht="15" customHeight="1">
      <c r="A27" s="11" t="s">
        <v>10</v>
      </c>
      <c r="B27" s="12" t="s">
        <v>16</v>
      </c>
      <c r="C27" s="13">
        <v>2</v>
      </c>
      <c r="D27" s="13">
        <v>3</v>
      </c>
      <c r="E27" s="14" t="s">
        <v>12</v>
      </c>
      <c r="F27" s="13">
        <v>1</v>
      </c>
      <c r="G27" s="13">
        <v>3</v>
      </c>
      <c r="H27" s="13">
        <v>1</v>
      </c>
      <c r="I27" s="13">
        <v>1</v>
      </c>
      <c r="J27" s="15">
        <v>1</v>
      </c>
      <c r="K27" s="5"/>
    </row>
    <row r="28" spans="1:11" ht="15" customHeight="1">
      <c r="A28" s="6" t="s">
        <v>10</v>
      </c>
      <c r="B28" s="7" t="s">
        <v>16</v>
      </c>
      <c r="C28" s="8">
        <v>3</v>
      </c>
      <c r="D28" s="8">
        <v>3</v>
      </c>
      <c r="E28" s="9" t="s">
        <v>12</v>
      </c>
      <c r="F28" s="8">
        <v>1</v>
      </c>
      <c r="G28" s="8">
        <v>3</v>
      </c>
      <c r="H28" s="8">
        <v>1</v>
      </c>
      <c r="I28" s="8">
        <v>1</v>
      </c>
      <c r="J28" s="10">
        <v>1</v>
      </c>
      <c r="K28" s="5"/>
    </row>
    <row r="29" spans="1:11" ht="15" customHeight="1">
      <c r="A29" s="11" t="s">
        <v>10</v>
      </c>
      <c r="B29" s="12" t="s">
        <v>16</v>
      </c>
      <c r="C29" s="13">
        <v>4</v>
      </c>
      <c r="D29" s="13">
        <v>3</v>
      </c>
      <c r="E29" s="14" t="s">
        <v>12</v>
      </c>
      <c r="F29" s="13">
        <v>1</v>
      </c>
      <c r="G29" s="13">
        <v>3</v>
      </c>
      <c r="H29" s="13">
        <v>1</v>
      </c>
      <c r="I29" s="13">
        <v>1</v>
      </c>
      <c r="J29" s="15">
        <v>1</v>
      </c>
      <c r="K29" s="5"/>
    </row>
    <row r="30" spans="1:11" ht="15" customHeight="1">
      <c r="A30" s="6" t="s">
        <v>10</v>
      </c>
      <c r="B30" s="7" t="s">
        <v>16</v>
      </c>
      <c r="C30" s="8">
        <v>5</v>
      </c>
      <c r="D30" s="8">
        <v>2</v>
      </c>
      <c r="E30" s="9" t="s">
        <v>13</v>
      </c>
      <c r="F30" s="8">
        <v>1</v>
      </c>
      <c r="G30" s="8">
        <v>2</v>
      </c>
      <c r="H30" s="8">
        <v>1</v>
      </c>
      <c r="I30" s="8">
        <v>0</v>
      </c>
      <c r="J30" s="10">
        <v>0</v>
      </c>
      <c r="K30" s="5"/>
    </row>
    <row r="31" spans="1:11" ht="15" customHeight="1">
      <c r="A31" s="11" t="s">
        <v>10</v>
      </c>
      <c r="B31" s="12" t="s">
        <v>16</v>
      </c>
      <c r="C31" s="13">
        <v>6</v>
      </c>
      <c r="D31" s="13">
        <v>2</v>
      </c>
      <c r="E31" s="14" t="s">
        <v>13</v>
      </c>
      <c r="F31" s="13">
        <v>1</v>
      </c>
      <c r="G31" s="13">
        <v>2</v>
      </c>
      <c r="H31" s="13">
        <v>1</v>
      </c>
      <c r="I31" s="13">
        <v>0</v>
      </c>
      <c r="J31" s="15">
        <v>0</v>
      </c>
      <c r="K31" s="5"/>
    </row>
    <row r="32" spans="1:11" ht="15" customHeight="1">
      <c r="A32" s="6" t="s">
        <v>10</v>
      </c>
      <c r="B32" s="7" t="s">
        <v>16</v>
      </c>
      <c r="C32" s="8">
        <v>7</v>
      </c>
      <c r="D32" s="8">
        <v>2</v>
      </c>
      <c r="E32" s="9" t="s">
        <v>13</v>
      </c>
      <c r="F32" s="8">
        <v>1</v>
      </c>
      <c r="G32" s="8">
        <v>2</v>
      </c>
      <c r="H32" s="8">
        <v>1</v>
      </c>
      <c r="I32" s="8">
        <v>0</v>
      </c>
      <c r="J32" s="10">
        <v>0</v>
      </c>
      <c r="K32" s="5"/>
    </row>
    <row r="33" spans="1:11" ht="15" customHeight="1">
      <c r="A33" s="11" t="s">
        <v>10</v>
      </c>
      <c r="B33" s="12" t="s">
        <v>16</v>
      </c>
      <c r="C33" s="13">
        <v>8</v>
      </c>
      <c r="D33" s="13">
        <v>2</v>
      </c>
      <c r="E33" s="14" t="s">
        <v>13</v>
      </c>
      <c r="F33" s="13">
        <v>1</v>
      </c>
      <c r="G33" s="13">
        <v>2</v>
      </c>
      <c r="H33" s="13">
        <v>1</v>
      </c>
      <c r="I33" s="13">
        <v>0</v>
      </c>
      <c r="J33" s="15">
        <v>0</v>
      </c>
      <c r="K33" s="5"/>
    </row>
    <row r="34" spans="1:11" ht="15" customHeight="1">
      <c r="A34" s="6" t="s">
        <v>10</v>
      </c>
      <c r="B34" s="7" t="s">
        <v>16</v>
      </c>
      <c r="C34" s="8">
        <v>9</v>
      </c>
      <c r="D34" s="8">
        <v>2</v>
      </c>
      <c r="E34" s="9" t="s">
        <v>13</v>
      </c>
      <c r="F34" s="8">
        <v>1</v>
      </c>
      <c r="G34" s="8">
        <v>2</v>
      </c>
      <c r="H34" s="8">
        <v>1</v>
      </c>
      <c r="I34" s="8">
        <v>0</v>
      </c>
      <c r="J34" s="10">
        <v>0</v>
      </c>
      <c r="K34" s="5"/>
    </row>
    <row r="35" spans="1:11" ht="15" customHeight="1">
      <c r="A35" s="11" t="s">
        <v>10</v>
      </c>
      <c r="B35" s="12" t="s">
        <v>16</v>
      </c>
      <c r="C35" s="13">
        <v>10</v>
      </c>
      <c r="D35" s="13">
        <v>2</v>
      </c>
      <c r="E35" s="14" t="s">
        <v>13</v>
      </c>
      <c r="F35" s="13">
        <v>1</v>
      </c>
      <c r="G35" s="13">
        <v>2</v>
      </c>
      <c r="H35" s="13">
        <v>1</v>
      </c>
      <c r="I35" s="13">
        <v>0</v>
      </c>
      <c r="J35" s="15">
        <v>0</v>
      </c>
      <c r="K35" s="5"/>
    </row>
    <row r="36" spans="1:11" ht="15" customHeight="1">
      <c r="A36" s="6" t="s">
        <v>10</v>
      </c>
      <c r="B36" s="7" t="s">
        <v>16</v>
      </c>
      <c r="C36" s="8">
        <v>11</v>
      </c>
      <c r="D36" s="8">
        <v>1</v>
      </c>
      <c r="E36" s="9" t="s">
        <v>14</v>
      </c>
      <c r="F36" s="8">
        <v>1</v>
      </c>
      <c r="G36" s="8">
        <v>1</v>
      </c>
      <c r="H36" s="8">
        <v>1</v>
      </c>
      <c r="I36" s="8">
        <v>0</v>
      </c>
      <c r="J36" s="10">
        <v>0</v>
      </c>
      <c r="K36" s="5"/>
    </row>
    <row r="37" spans="1:11" ht="15" customHeight="1">
      <c r="A37" s="11" t="s">
        <v>10</v>
      </c>
      <c r="B37" s="12" t="s">
        <v>16</v>
      </c>
      <c r="C37" s="13">
        <v>12</v>
      </c>
      <c r="D37" s="13">
        <v>1</v>
      </c>
      <c r="E37" s="14" t="s">
        <v>14</v>
      </c>
      <c r="F37" s="13">
        <v>1</v>
      </c>
      <c r="G37" s="13">
        <v>1</v>
      </c>
      <c r="H37" s="13">
        <v>1</v>
      </c>
      <c r="I37" s="13">
        <v>0</v>
      </c>
      <c r="J37" s="15">
        <v>0</v>
      </c>
      <c r="K37" s="5"/>
    </row>
    <row r="38" spans="1:11" ht="15" customHeight="1">
      <c r="A38" s="6" t="s">
        <v>10</v>
      </c>
      <c r="B38" s="7" t="s">
        <v>16</v>
      </c>
      <c r="C38" s="8">
        <v>13</v>
      </c>
      <c r="D38" s="8">
        <v>1</v>
      </c>
      <c r="E38" s="9" t="s">
        <v>14</v>
      </c>
      <c r="F38" s="8">
        <v>1</v>
      </c>
      <c r="G38" s="8">
        <v>1</v>
      </c>
      <c r="H38" s="8">
        <v>1</v>
      </c>
      <c r="I38" s="8">
        <v>0</v>
      </c>
      <c r="J38" s="10">
        <v>0</v>
      </c>
      <c r="K38" s="5"/>
    </row>
    <row r="39" spans="1:11" ht="15" customHeight="1">
      <c r="A39" s="11" t="s">
        <v>10</v>
      </c>
      <c r="B39" s="12" t="s">
        <v>16</v>
      </c>
      <c r="C39" s="13">
        <v>14</v>
      </c>
      <c r="D39" s="13">
        <v>1</v>
      </c>
      <c r="E39" s="14" t="s">
        <v>14</v>
      </c>
      <c r="F39" s="13">
        <v>1</v>
      </c>
      <c r="G39" s="13">
        <v>1</v>
      </c>
      <c r="H39" s="13">
        <v>1</v>
      </c>
      <c r="I39" s="13">
        <v>0</v>
      </c>
      <c r="J39" s="15">
        <v>0</v>
      </c>
      <c r="K39" s="5"/>
    </row>
    <row r="40" spans="1:11" ht="15" customHeight="1">
      <c r="A40" s="6" t="s">
        <v>10</v>
      </c>
      <c r="B40" s="7" t="s">
        <v>16</v>
      </c>
      <c r="C40" s="8">
        <v>15</v>
      </c>
      <c r="D40" s="8">
        <v>1</v>
      </c>
      <c r="E40" s="9" t="s">
        <v>15</v>
      </c>
      <c r="F40" s="8">
        <v>1</v>
      </c>
      <c r="G40" s="8">
        <v>1</v>
      </c>
      <c r="H40" s="8">
        <v>0</v>
      </c>
      <c r="I40" s="8">
        <v>0</v>
      </c>
      <c r="J40" s="10">
        <v>0</v>
      </c>
      <c r="K40" s="5"/>
    </row>
    <row r="41" spans="1:11" ht="15" customHeight="1">
      <c r="A41" s="11" t="s">
        <v>10</v>
      </c>
      <c r="B41" s="12" t="s">
        <v>16</v>
      </c>
      <c r="C41" s="13">
        <v>16</v>
      </c>
      <c r="D41" s="13">
        <v>1</v>
      </c>
      <c r="E41" s="14" t="s">
        <v>15</v>
      </c>
      <c r="F41" s="13">
        <v>1</v>
      </c>
      <c r="G41" s="13">
        <v>1</v>
      </c>
      <c r="H41" s="13">
        <v>0</v>
      </c>
      <c r="I41" s="13">
        <v>0</v>
      </c>
      <c r="J41" s="15">
        <v>0</v>
      </c>
      <c r="K41" s="5"/>
    </row>
    <row r="42" spans="1:11" ht="13.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7"/>
    </row>
  </sheetData>
  <dataValidations count="1">
    <dataValidation type="list" allowBlank="1" showInputMessage="1" showErrorMessage="1" sqref="E2:E41" xr:uid="{00000000-0002-0000-0000-000000000000}">
      <formula1>"T1,T1V,T2,T3"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showGridLines="0" workbookViewId="0"/>
  </sheetViews>
  <sheetFormatPr defaultColWidth="8.875" defaultRowHeight="15" customHeight="1"/>
  <cols>
    <col min="1" max="1" width="28" style="1" customWidth="1"/>
    <col min="2" max="5" width="38" style="1" customWidth="1"/>
    <col min="6" max="6" width="8.875" style="1" customWidth="1"/>
    <col min="7" max="16384" width="8.875" style="1"/>
  </cols>
  <sheetData>
    <row r="1" spans="1:5" ht="15" customHeight="1">
      <c r="A1" s="18" t="s">
        <v>17</v>
      </c>
      <c r="B1" s="19" t="s">
        <v>14</v>
      </c>
      <c r="C1" s="19" t="s">
        <v>15</v>
      </c>
      <c r="D1" s="19" t="s">
        <v>13</v>
      </c>
      <c r="E1" s="20" t="s">
        <v>12</v>
      </c>
    </row>
    <row r="2" spans="1:5" ht="15" customHeight="1">
      <c r="A2" s="21" t="s">
        <v>18</v>
      </c>
      <c r="B2" s="22"/>
      <c r="C2" s="22"/>
      <c r="D2" s="22"/>
      <c r="E2" s="23"/>
    </row>
    <row r="3" spans="1:5" ht="15" customHeight="1">
      <c r="A3" s="24" t="s">
        <v>19</v>
      </c>
      <c r="B3" s="25" t="s">
        <v>20</v>
      </c>
      <c r="C3" s="25" t="s">
        <v>21</v>
      </c>
      <c r="D3" s="25" t="s">
        <v>20</v>
      </c>
      <c r="E3" s="25" t="s">
        <v>20</v>
      </c>
    </row>
    <row r="4" spans="1:5" ht="15" customHeight="1">
      <c r="A4" s="26" t="s">
        <v>22</v>
      </c>
      <c r="B4" s="27" t="s">
        <v>23</v>
      </c>
      <c r="C4" s="27" t="s">
        <v>23</v>
      </c>
      <c r="D4" s="27" t="s">
        <v>23</v>
      </c>
      <c r="E4" s="27" t="s">
        <v>23</v>
      </c>
    </row>
    <row r="5" spans="1:5" ht="15" customHeight="1">
      <c r="A5" s="26" t="s">
        <v>24</v>
      </c>
      <c r="B5" s="27" t="s">
        <v>20</v>
      </c>
      <c r="C5" s="27" t="s">
        <v>21</v>
      </c>
      <c r="D5" s="27" t="s">
        <v>20</v>
      </c>
      <c r="E5" s="27" t="s">
        <v>20</v>
      </c>
    </row>
    <row r="6" spans="1:5" ht="15" customHeight="1">
      <c r="A6" s="26" t="s">
        <v>25</v>
      </c>
      <c r="B6" s="27" t="s">
        <v>26</v>
      </c>
      <c r="C6" s="27" t="s">
        <v>26</v>
      </c>
      <c r="D6" s="27" t="s">
        <v>26</v>
      </c>
      <c r="E6" s="27" t="s">
        <v>26</v>
      </c>
    </row>
    <row r="7" spans="1:5" ht="15" customHeight="1">
      <c r="A7" s="26" t="s">
        <v>27</v>
      </c>
      <c r="B7" s="27" t="s">
        <v>20</v>
      </c>
      <c r="C7" s="27" t="s">
        <v>21</v>
      </c>
      <c r="D7" s="27" t="s">
        <v>20</v>
      </c>
      <c r="E7" s="27" t="s">
        <v>20</v>
      </c>
    </row>
    <row r="8" spans="1:5" ht="15" customHeight="1">
      <c r="A8" s="26" t="s">
        <v>28</v>
      </c>
      <c r="B8" s="27" t="s">
        <v>29</v>
      </c>
      <c r="C8" s="27" t="s">
        <v>29</v>
      </c>
      <c r="D8" s="27" t="s">
        <v>29</v>
      </c>
      <c r="E8" s="27" t="s">
        <v>29</v>
      </c>
    </row>
    <row r="9" spans="1:5" ht="15" customHeight="1">
      <c r="A9" s="26" t="s">
        <v>30</v>
      </c>
      <c r="B9" s="27" t="s">
        <v>31</v>
      </c>
      <c r="C9" s="27" t="s">
        <v>31</v>
      </c>
      <c r="D9" s="27" t="s">
        <v>31</v>
      </c>
      <c r="E9" s="27" t="s">
        <v>32</v>
      </c>
    </row>
    <row r="10" spans="1:5" ht="15" customHeight="1">
      <c r="A10" s="26" t="s">
        <v>33</v>
      </c>
      <c r="B10" s="27" t="s">
        <v>31</v>
      </c>
      <c r="C10" s="27" t="s">
        <v>31</v>
      </c>
      <c r="D10" s="27" t="s">
        <v>31</v>
      </c>
      <c r="E10" s="27" t="s">
        <v>23</v>
      </c>
    </row>
    <row r="11" spans="1:5" ht="15" customHeight="1">
      <c r="A11" s="28" t="s">
        <v>34</v>
      </c>
      <c r="B11" s="29" t="s">
        <v>35</v>
      </c>
      <c r="C11" s="29" t="s">
        <v>21</v>
      </c>
      <c r="D11" s="29" t="s">
        <v>35</v>
      </c>
      <c r="E11" s="29" t="s">
        <v>35</v>
      </c>
    </row>
    <row r="12" spans="1:5" ht="15" customHeight="1">
      <c r="A12" s="21" t="s">
        <v>36</v>
      </c>
      <c r="B12" s="22"/>
      <c r="C12" s="22"/>
      <c r="D12" s="22"/>
      <c r="E12" s="23"/>
    </row>
    <row r="13" spans="1:5" ht="15" customHeight="1">
      <c r="A13" s="24" t="s">
        <v>37</v>
      </c>
      <c r="B13" s="25" t="s">
        <v>38</v>
      </c>
      <c r="C13" s="25" t="s">
        <v>38</v>
      </c>
      <c r="D13" s="25" t="s">
        <v>38</v>
      </c>
      <c r="E13" s="25" t="s">
        <v>38</v>
      </c>
    </row>
    <row r="14" spans="1:5" ht="15" customHeight="1">
      <c r="A14" s="26" t="s">
        <v>39</v>
      </c>
      <c r="B14" s="27" t="s">
        <v>40</v>
      </c>
      <c r="C14" s="27" t="s">
        <v>40</v>
      </c>
      <c r="D14" s="27" t="s">
        <v>40</v>
      </c>
      <c r="E14" s="27" t="s">
        <v>40</v>
      </c>
    </row>
    <row r="15" spans="1:5" ht="15" customHeight="1">
      <c r="A15" s="28" t="s">
        <v>41</v>
      </c>
      <c r="B15" s="29" t="s">
        <v>31</v>
      </c>
      <c r="C15" s="29" t="s">
        <v>31</v>
      </c>
      <c r="D15" s="29" t="s">
        <v>31</v>
      </c>
      <c r="E15" s="29" t="s">
        <v>31</v>
      </c>
    </row>
    <row r="16" spans="1:5" ht="15" customHeight="1">
      <c r="A16" s="21" t="s">
        <v>42</v>
      </c>
      <c r="B16" s="22"/>
      <c r="C16" s="22"/>
      <c r="D16" s="22"/>
      <c r="E16" s="23"/>
    </row>
    <row r="17" spans="1:5" ht="15" customHeight="1">
      <c r="A17" s="24" t="s">
        <v>43</v>
      </c>
      <c r="B17" s="25" t="s">
        <v>44</v>
      </c>
      <c r="C17" s="25" t="s">
        <v>44</v>
      </c>
      <c r="D17" s="25" t="s">
        <v>44</v>
      </c>
      <c r="E17" s="25" t="s">
        <v>44</v>
      </c>
    </row>
    <row r="18" spans="1:5" ht="15" customHeight="1">
      <c r="A18" s="26" t="s">
        <v>45</v>
      </c>
      <c r="B18" s="27" t="s">
        <v>31</v>
      </c>
      <c r="C18" s="27" t="s">
        <v>31</v>
      </c>
      <c r="D18" s="27" t="s">
        <v>46</v>
      </c>
      <c r="E18" s="27" t="s">
        <v>47</v>
      </c>
    </row>
    <row r="19" spans="1:5" ht="15" customHeight="1">
      <c r="A19" s="26" t="s">
        <v>48</v>
      </c>
      <c r="B19" s="27" t="s">
        <v>31</v>
      </c>
      <c r="C19" s="27" t="s">
        <v>31</v>
      </c>
      <c r="D19" s="27" t="s">
        <v>49</v>
      </c>
      <c r="E19" s="27" t="s">
        <v>50</v>
      </c>
    </row>
    <row r="20" spans="1:5" ht="15" customHeight="1">
      <c r="A20" s="26" t="s">
        <v>51</v>
      </c>
      <c r="B20" s="27" t="s">
        <v>31</v>
      </c>
      <c r="C20" s="27" t="s">
        <v>31</v>
      </c>
      <c r="D20" s="27" t="s">
        <v>52</v>
      </c>
      <c r="E20" s="27" t="s">
        <v>53</v>
      </c>
    </row>
    <row r="21" spans="1:5" ht="26.45" customHeight="1">
      <c r="A21" s="26" t="s">
        <v>54</v>
      </c>
      <c r="B21" s="27" t="s">
        <v>31</v>
      </c>
      <c r="C21" s="27" t="s">
        <v>31</v>
      </c>
      <c r="D21" s="27" t="s">
        <v>55</v>
      </c>
      <c r="E21" s="27" t="s">
        <v>56</v>
      </c>
    </row>
    <row r="22" spans="1:5" ht="15" customHeight="1">
      <c r="A22" s="26" t="s">
        <v>57</v>
      </c>
      <c r="B22" s="27" t="s">
        <v>31</v>
      </c>
      <c r="C22" s="27" t="s">
        <v>31</v>
      </c>
      <c r="D22" s="27" t="s">
        <v>58</v>
      </c>
      <c r="E22" s="27" t="s">
        <v>59</v>
      </c>
    </row>
    <row r="23" spans="1:5" ht="26.45" customHeight="1">
      <c r="A23" s="26" t="s">
        <v>60</v>
      </c>
      <c r="B23" s="27" t="s">
        <v>31</v>
      </c>
      <c r="C23" s="27" t="s">
        <v>31</v>
      </c>
      <c r="D23" s="27" t="s">
        <v>61</v>
      </c>
      <c r="E23" s="27" t="s">
        <v>62</v>
      </c>
    </row>
    <row r="24" spans="1:5" ht="15" customHeight="1">
      <c r="A24" s="28" t="s">
        <v>63</v>
      </c>
      <c r="B24" s="29" t="s">
        <v>31</v>
      </c>
      <c r="C24" s="29" t="s">
        <v>31</v>
      </c>
      <c r="D24" s="29" t="s">
        <v>64</v>
      </c>
      <c r="E24" s="29" t="s">
        <v>65</v>
      </c>
    </row>
    <row r="25" spans="1:5" ht="15" customHeight="1">
      <c r="A25" s="21" t="s">
        <v>66</v>
      </c>
      <c r="B25" s="22"/>
      <c r="C25" s="22"/>
      <c r="D25" s="22"/>
      <c r="E25" s="23"/>
    </row>
    <row r="26" spans="1:5" ht="15" customHeight="1">
      <c r="A26" s="24" t="s">
        <v>67</v>
      </c>
      <c r="B26" s="25" t="s">
        <v>68</v>
      </c>
      <c r="C26" s="25" t="s">
        <v>68</v>
      </c>
      <c r="D26" s="25" t="s">
        <v>68</v>
      </c>
      <c r="E26" s="25" t="s">
        <v>68</v>
      </c>
    </row>
    <row r="27" spans="1:5" ht="15" customHeight="1">
      <c r="A27" s="26" t="s">
        <v>69</v>
      </c>
      <c r="B27" s="27" t="s">
        <v>70</v>
      </c>
      <c r="C27" s="27" t="s">
        <v>70</v>
      </c>
      <c r="D27" s="27" t="s">
        <v>70</v>
      </c>
      <c r="E27" s="27" t="s">
        <v>70</v>
      </c>
    </row>
    <row r="28" spans="1:5" ht="15" customHeight="1">
      <c r="A28" s="26" t="s">
        <v>71</v>
      </c>
      <c r="B28" s="27" t="s">
        <v>72</v>
      </c>
      <c r="C28" s="27" t="s">
        <v>72</v>
      </c>
      <c r="D28" s="27" t="s">
        <v>72</v>
      </c>
      <c r="E28" s="27" t="s">
        <v>72</v>
      </c>
    </row>
    <row r="29" spans="1:5" ht="15" customHeight="1">
      <c r="A29" s="26" t="s">
        <v>73</v>
      </c>
      <c r="B29" s="27" t="s">
        <v>74</v>
      </c>
      <c r="C29" s="27" t="s">
        <v>75</v>
      </c>
      <c r="D29" s="27" t="s">
        <v>76</v>
      </c>
      <c r="E29" s="27" t="s">
        <v>76</v>
      </c>
    </row>
    <row r="30" spans="1:5" ht="15" customHeight="1">
      <c r="A30" s="28" t="s">
        <v>77</v>
      </c>
      <c r="B30" s="29" t="s">
        <v>75</v>
      </c>
      <c r="C30" s="29" t="s">
        <v>75</v>
      </c>
      <c r="D30" s="29" t="s">
        <v>75</v>
      </c>
      <c r="E30" s="29" t="s">
        <v>75</v>
      </c>
    </row>
    <row r="31" spans="1:5" ht="15" customHeight="1">
      <c r="A31" s="21" t="s">
        <v>78</v>
      </c>
      <c r="B31" s="22"/>
      <c r="C31" s="22"/>
      <c r="D31" s="22"/>
      <c r="E31" s="23"/>
    </row>
    <row r="32" spans="1:5" ht="15" customHeight="1">
      <c r="A32" s="24" t="s">
        <v>79</v>
      </c>
      <c r="B32" s="25" t="s">
        <v>21</v>
      </c>
      <c r="C32" s="25" t="s">
        <v>21</v>
      </c>
      <c r="D32" s="25" t="s">
        <v>21</v>
      </c>
      <c r="E32" s="25" t="s">
        <v>21</v>
      </c>
    </row>
    <row r="33" spans="1:5" ht="15" customHeight="1">
      <c r="A33" s="26" t="s">
        <v>80</v>
      </c>
      <c r="B33" s="27" t="s">
        <v>21</v>
      </c>
      <c r="C33" s="27" t="s">
        <v>21</v>
      </c>
      <c r="D33" s="27" t="s">
        <v>21</v>
      </c>
      <c r="E33" s="27" t="s">
        <v>21</v>
      </c>
    </row>
    <row r="34" spans="1:5" ht="15" customHeight="1">
      <c r="A34" s="28" t="s">
        <v>81</v>
      </c>
      <c r="B34" s="29" t="s">
        <v>21</v>
      </c>
      <c r="C34" s="29" t="s">
        <v>21</v>
      </c>
      <c r="D34" s="29" t="s">
        <v>21</v>
      </c>
      <c r="E34" s="29" t="s">
        <v>21</v>
      </c>
    </row>
    <row r="35" spans="1:5" ht="15" customHeight="1">
      <c r="A35" s="21" t="s">
        <v>7</v>
      </c>
      <c r="B35" s="22"/>
      <c r="C35" s="22"/>
      <c r="D35" s="22"/>
      <c r="E35" s="23"/>
    </row>
    <row r="36" spans="1:5" ht="15" customHeight="1">
      <c r="A36" s="24" t="s">
        <v>82</v>
      </c>
      <c r="B36" s="25" t="s">
        <v>31</v>
      </c>
      <c r="C36" s="25" t="s">
        <v>31</v>
      </c>
      <c r="D36" s="25" t="s">
        <v>31</v>
      </c>
      <c r="E36" s="25" t="s">
        <v>31</v>
      </c>
    </row>
    <row r="37" spans="1:5" ht="15" customHeight="1">
      <c r="A37" s="28" t="s">
        <v>83</v>
      </c>
      <c r="B37" s="29" t="s">
        <v>21</v>
      </c>
      <c r="C37" s="29" t="s">
        <v>31</v>
      </c>
      <c r="D37" s="29" t="s">
        <v>84</v>
      </c>
      <c r="E37" s="29" t="s">
        <v>85</v>
      </c>
    </row>
    <row r="38" spans="1:5" ht="15" customHeight="1">
      <c r="A38" s="21" t="s">
        <v>86</v>
      </c>
      <c r="B38" s="22"/>
      <c r="C38" s="22"/>
      <c r="D38" s="22"/>
      <c r="E38" s="23"/>
    </row>
    <row r="39" spans="1:5" ht="15" customHeight="1">
      <c r="A39" s="24" t="s">
        <v>87</v>
      </c>
      <c r="B39" s="25" t="s">
        <v>88</v>
      </c>
      <c r="C39" s="25" t="s">
        <v>89</v>
      </c>
      <c r="D39" s="25" t="s">
        <v>88</v>
      </c>
      <c r="E39" s="25" t="s">
        <v>88</v>
      </c>
    </row>
    <row r="40" spans="1:5" ht="15" customHeight="1">
      <c r="A40" s="26" t="s">
        <v>90</v>
      </c>
      <c r="B40" s="27" t="s">
        <v>91</v>
      </c>
      <c r="C40" s="27" t="s">
        <v>31</v>
      </c>
      <c r="D40" s="27" t="s">
        <v>91</v>
      </c>
      <c r="E40" s="27" t="s">
        <v>91</v>
      </c>
    </row>
    <row r="41" spans="1:5" ht="15" customHeight="1">
      <c r="A41" s="26" t="s">
        <v>92</v>
      </c>
      <c r="B41" s="27" t="s">
        <v>93</v>
      </c>
      <c r="C41" s="27" t="s">
        <v>31</v>
      </c>
      <c r="D41" s="27" t="s">
        <v>93</v>
      </c>
      <c r="E41" s="27" t="s">
        <v>93</v>
      </c>
    </row>
    <row r="42" spans="1:5" ht="15" customHeight="1">
      <c r="A42" s="26" t="s">
        <v>94</v>
      </c>
      <c r="B42" s="27" t="s">
        <v>89</v>
      </c>
      <c r="C42" s="27" t="s">
        <v>31</v>
      </c>
      <c r="D42" s="27" t="s">
        <v>89</v>
      </c>
      <c r="E42" s="27" t="s">
        <v>89</v>
      </c>
    </row>
    <row r="43" spans="1:5" ht="15" customHeight="1">
      <c r="A43" s="26" t="s">
        <v>95</v>
      </c>
      <c r="B43" s="27" t="s">
        <v>31</v>
      </c>
      <c r="C43" s="27" t="s">
        <v>31</v>
      </c>
      <c r="D43" s="27" t="s">
        <v>31</v>
      </c>
      <c r="E43" s="27" t="s">
        <v>31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0"/>
  <sheetViews>
    <sheetView showGridLines="0" tabSelected="1" topLeftCell="B1" workbookViewId="0">
      <selection activeCell="B24" sqref="B24"/>
    </sheetView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96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4" t="s">
        <v>103</v>
      </c>
      <c r="I1" s="5"/>
    </row>
    <row r="2" spans="1:9" ht="15" customHeight="1">
      <c r="A2" s="30">
        <v>0</v>
      </c>
      <c r="B2" s="7" t="s">
        <v>104</v>
      </c>
      <c r="C2" s="8">
        <v>160</v>
      </c>
      <c r="D2" s="8">
        <v>20</v>
      </c>
      <c r="E2" s="8">
        <v>30</v>
      </c>
      <c r="F2" s="7" t="s">
        <v>105</v>
      </c>
      <c r="G2" s="7" t="s">
        <v>106</v>
      </c>
      <c r="H2" s="10">
        <v>10</v>
      </c>
      <c r="I2" s="5"/>
    </row>
    <row r="3" spans="1:9" ht="15" customHeight="1">
      <c r="A3" s="31">
        <v>1</v>
      </c>
      <c r="B3" s="12" t="s">
        <v>107</v>
      </c>
      <c r="C3" s="13">
        <v>870</v>
      </c>
      <c r="D3" s="13">
        <v>600</v>
      </c>
      <c r="E3" s="13">
        <v>570</v>
      </c>
      <c r="F3" s="12" t="s">
        <v>108</v>
      </c>
      <c r="G3" s="12" t="s">
        <v>5</v>
      </c>
      <c r="H3" s="15">
        <v>2</v>
      </c>
      <c r="I3" s="5"/>
    </row>
    <row r="4" spans="1:9" ht="15" customHeight="1">
      <c r="A4" s="30">
        <v>2</v>
      </c>
      <c r="B4" s="7" t="s">
        <v>109</v>
      </c>
      <c r="C4" s="8">
        <v>870</v>
      </c>
      <c r="D4" s="8">
        <v>550</v>
      </c>
      <c r="E4" s="8">
        <v>570</v>
      </c>
      <c r="F4" s="7" t="s">
        <v>110</v>
      </c>
      <c r="G4" s="7" t="s">
        <v>5</v>
      </c>
      <c r="H4" s="10">
        <v>1</v>
      </c>
      <c r="I4" s="5"/>
    </row>
    <row r="5" spans="1:9" ht="15" customHeight="1">
      <c r="A5" s="31">
        <v>3</v>
      </c>
      <c r="B5" s="12" t="s">
        <v>111</v>
      </c>
      <c r="C5" s="13">
        <v>870</v>
      </c>
      <c r="D5" s="13">
        <v>600</v>
      </c>
      <c r="E5" s="13">
        <v>570</v>
      </c>
      <c r="F5" s="12" t="s">
        <v>112</v>
      </c>
      <c r="G5" s="12" t="s">
        <v>5</v>
      </c>
      <c r="H5" s="15">
        <v>1</v>
      </c>
      <c r="I5" s="5"/>
    </row>
    <row r="6" spans="1:9" ht="15" customHeight="1">
      <c r="A6" s="30">
        <v>4</v>
      </c>
      <c r="B6" s="7" t="s">
        <v>113</v>
      </c>
      <c r="C6" s="8">
        <v>720</v>
      </c>
      <c r="D6" s="8">
        <v>600</v>
      </c>
      <c r="E6" s="8">
        <v>350</v>
      </c>
      <c r="F6" s="7" t="s">
        <v>114</v>
      </c>
      <c r="G6" s="7" t="s">
        <v>5</v>
      </c>
      <c r="H6" s="10">
        <v>2</v>
      </c>
      <c r="I6" s="5"/>
    </row>
    <row r="7" spans="1:9" ht="15" customHeight="1">
      <c r="A7" s="31">
        <v>5</v>
      </c>
      <c r="B7" s="12" t="s">
        <v>115</v>
      </c>
      <c r="C7" s="13">
        <v>720</v>
      </c>
      <c r="D7" s="13">
        <v>600</v>
      </c>
      <c r="E7" s="13">
        <v>350</v>
      </c>
      <c r="F7" s="12" t="s">
        <v>116</v>
      </c>
      <c r="G7" s="12" t="s">
        <v>5</v>
      </c>
      <c r="H7" s="15">
        <v>1</v>
      </c>
      <c r="I7" s="5"/>
    </row>
    <row r="8" spans="1:9" ht="15" customHeight="1">
      <c r="A8" s="30">
        <v>6</v>
      </c>
      <c r="B8" s="7" t="s">
        <v>117</v>
      </c>
      <c r="C8" s="8">
        <v>2350</v>
      </c>
      <c r="D8" s="8">
        <v>18</v>
      </c>
      <c r="E8" s="8">
        <v>600</v>
      </c>
      <c r="F8" s="7" t="s">
        <v>117</v>
      </c>
      <c r="G8" s="7" t="s">
        <v>5</v>
      </c>
      <c r="H8" s="10">
        <v>1</v>
      </c>
      <c r="I8" s="5"/>
    </row>
    <row r="9" spans="1:9" ht="15" customHeight="1">
      <c r="A9" s="31">
        <v>7</v>
      </c>
      <c r="B9" s="12" t="s">
        <v>118</v>
      </c>
      <c r="C9" s="13">
        <v>890</v>
      </c>
      <c r="D9" s="13">
        <v>18</v>
      </c>
      <c r="E9" s="13">
        <v>1200</v>
      </c>
      <c r="F9" s="12" t="s">
        <v>118</v>
      </c>
      <c r="G9" s="12" t="s">
        <v>5</v>
      </c>
      <c r="H9" s="15">
        <v>1</v>
      </c>
      <c r="I9" s="5"/>
    </row>
    <row r="10" spans="1:9" ht="15" customHeight="1">
      <c r="A10" s="30">
        <v>8</v>
      </c>
      <c r="B10" s="7" t="s">
        <v>119</v>
      </c>
      <c r="C10" s="8">
        <v>2200</v>
      </c>
      <c r="D10" s="8">
        <v>18</v>
      </c>
      <c r="E10" s="8">
        <v>145</v>
      </c>
      <c r="F10" s="7" t="s">
        <v>119</v>
      </c>
      <c r="G10" s="7" t="s">
        <v>5</v>
      </c>
      <c r="H10" s="10">
        <v>2</v>
      </c>
      <c r="I10" s="5"/>
    </row>
    <row r="11" spans="1:9" ht="15" customHeight="1">
      <c r="A11" s="31">
        <v>9</v>
      </c>
      <c r="B11" s="12" t="s">
        <v>120</v>
      </c>
      <c r="C11" s="13">
        <v>2200</v>
      </c>
      <c r="D11" s="13">
        <v>18</v>
      </c>
      <c r="E11" s="13">
        <v>60</v>
      </c>
      <c r="F11" s="12" t="s">
        <v>120</v>
      </c>
      <c r="G11" s="12" t="s">
        <v>5</v>
      </c>
      <c r="H11" s="15">
        <v>1</v>
      </c>
      <c r="I11" s="5"/>
    </row>
    <row r="12" spans="1:9" ht="15" customHeight="1">
      <c r="A12" s="30">
        <v>10</v>
      </c>
      <c r="B12" s="7" t="s">
        <v>121</v>
      </c>
      <c r="C12" s="8">
        <v>2200</v>
      </c>
      <c r="D12" s="8">
        <v>18</v>
      </c>
      <c r="E12" s="8">
        <v>100</v>
      </c>
      <c r="F12" s="7" t="s">
        <v>121</v>
      </c>
      <c r="G12" s="7" t="s">
        <v>5</v>
      </c>
      <c r="H12" s="10">
        <v>1</v>
      </c>
      <c r="I12" s="5"/>
    </row>
    <row r="13" spans="1:9" ht="15" customHeight="1">
      <c r="A13" s="31">
        <v>11</v>
      </c>
      <c r="B13" s="12" t="s">
        <v>122</v>
      </c>
      <c r="C13" s="13">
        <v>890</v>
      </c>
      <c r="D13" s="13">
        <v>18</v>
      </c>
      <c r="E13" s="13">
        <v>600</v>
      </c>
      <c r="F13" s="12" t="s">
        <v>122</v>
      </c>
      <c r="G13" s="12" t="s">
        <v>7</v>
      </c>
      <c r="H13" s="15">
        <v>1</v>
      </c>
      <c r="I13" s="5"/>
    </row>
    <row r="14" spans="1:9" ht="15" customHeight="1">
      <c r="A14" s="30">
        <v>20</v>
      </c>
      <c r="B14" s="7" t="s">
        <v>44</v>
      </c>
      <c r="C14" s="8">
        <v>200</v>
      </c>
      <c r="D14" s="8">
        <v>500</v>
      </c>
      <c r="E14" s="8">
        <v>250</v>
      </c>
      <c r="F14" s="7" t="s">
        <v>123</v>
      </c>
      <c r="G14" s="7" t="s">
        <v>106</v>
      </c>
      <c r="H14" s="10">
        <v>1</v>
      </c>
      <c r="I14" s="5"/>
    </row>
    <row r="15" spans="1:9" ht="15" customHeight="1">
      <c r="A15" s="31">
        <v>21</v>
      </c>
      <c r="B15" s="12" t="s">
        <v>124</v>
      </c>
      <c r="C15" s="13">
        <v>200</v>
      </c>
      <c r="D15" s="13">
        <v>550</v>
      </c>
      <c r="E15" s="13">
        <v>500</v>
      </c>
      <c r="F15" s="12" t="s">
        <v>124</v>
      </c>
      <c r="G15" s="12" t="s">
        <v>106</v>
      </c>
      <c r="H15" s="15">
        <v>1</v>
      </c>
      <c r="I15" s="5"/>
    </row>
    <row r="16" spans="1:9" ht="15" customHeight="1">
      <c r="A16" s="30">
        <v>22</v>
      </c>
      <c r="B16" s="7" t="s">
        <v>125</v>
      </c>
      <c r="C16" s="8">
        <v>200</v>
      </c>
      <c r="D16" s="8">
        <v>940</v>
      </c>
      <c r="E16" s="8">
        <v>500</v>
      </c>
      <c r="F16" s="7" t="s">
        <v>125</v>
      </c>
      <c r="G16" s="7" t="s">
        <v>106</v>
      </c>
      <c r="H16" s="10">
        <v>1</v>
      </c>
      <c r="I16" s="5"/>
    </row>
    <row r="17" spans="1:9" ht="15" customHeight="1">
      <c r="A17" s="31">
        <v>23</v>
      </c>
      <c r="B17" s="12" t="s">
        <v>126</v>
      </c>
      <c r="C17" s="13">
        <v>100</v>
      </c>
      <c r="D17" s="13">
        <v>500</v>
      </c>
      <c r="E17" s="13">
        <v>20</v>
      </c>
      <c r="F17" s="12" t="s">
        <v>126</v>
      </c>
      <c r="G17" s="12" t="s">
        <v>106</v>
      </c>
      <c r="H17" s="15">
        <v>1</v>
      </c>
      <c r="I17" s="5"/>
    </row>
    <row r="18" spans="1:9" ht="15" customHeight="1">
      <c r="A18" s="30">
        <v>24</v>
      </c>
      <c r="B18" s="7" t="s">
        <v>127</v>
      </c>
      <c r="C18" s="8">
        <v>20</v>
      </c>
      <c r="D18" s="8">
        <v>2200</v>
      </c>
      <c r="E18" s="8">
        <v>600</v>
      </c>
      <c r="F18" s="7" t="s">
        <v>128</v>
      </c>
      <c r="G18" s="7" t="s">
        <v>106</v>
      </c>
      <c r="H18" s="10">
        <v>1</v>
      </c>
      <c r="I18" s="5"/>
    </row>
    <row r="19" spans="1:9" ht="15" customHeight="1">
      <c r="A19" s="31">
        <v>25</v>
      </c>
      <c r="B19" s="12" t="s">
        <v>129</v>
      </c>
      <c r="C19" s="13">
        <v>20</v>
      </c>
      <c r="D19" s="13">
        <v>2200</v>
      </c>
      <c r="E19" s="13">
        <v>600</v>
      </c>
      <c r="F19" s="12" t="s">
        <v>130</v>
      </c>
      <c r="G19" s="12" t="s">
        <v>106</v>
      </c>
      <c r="H19" s="15">
        <v>1</v>
      </c>
      <c r="I19" s="5"/>
    </row>
    <row r="20" spans="1:9" ht="15" customHeight="1">
      <c r="A20" s="30">
        <v>26</v>
      </c>
      <c r="B20" s="7" t="s">
        <v>131</v>
      </c>
      <c r="C20" s="8">
        <v>25</v>
      </c>
      <c r="D20" s="8">
        <v>1200</v>
      </c>
      <c r="E20" s="8">
        <v>600</v>
      </c>
      <c r="F20" s="7" t="s">
        <v>132</v>
      </c>
      <c r="G20" s="7" t="s">
        <v>7</v>
      </c>
      <c r="H20" s="10">
        <v>1</v>
      </c>
      <c r="I20" s="5"/>
    </row>
    <row r="21" spans="1:9" ht="13.5" customHeight="1">
      <c r="A21" s="16"/>
      <c r="B21" s="16"/>
      <c r="C21" s="16"/>
      <c r="D21" s="16"/>
      <c r="E21" s="16"/>
      <c r="F21" s="16"/>
      <c r="G21" s="16"/>
      <c r="H21" s="16"/>
      <c r="I21" s="17"/>
    </row>
    <row r="22" spans="1:9" ht="13.5" customHeight="1">
      <c r="A22" s="17"/>
      <c r="B22" s="17"/>
      <c r="C22" s="17"/>
      <c r="D22" s="17"/>
      <c r="E22" s="17"/>
      <c r="F22" s="17"/>
      <c r="G22" s="17"/>
      <c r="H22" s="17"/>
      <c r="I22" s="17"/>
    </row>
    <row r="23" spans="1:9" ht="13.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3.5" customHeight="1">
      <c r="A24" s="17"/>
      <c r="B24" s="17"/>
      <c r="C24" s="17"/>
      <c r="D24" s="17"/>
      <c r="E24" s="17"/>
      <c r="F24" s="17"/>
      <c r="G24" s="17"/>
      <c r="H24" s="17"/>
      <c r="I24" s="17"/>
    </row>
    <row r="25" spans="1:9" ht="13.5" customHeight="1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3.5" customHeight="1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3.5" customHeight="1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3.5" customHeight="1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3.5" customHeight="1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3.5" customHeight="1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3.5" customHeight="1">
      <c r="A31" s="17"/>
      <c r="B31" s="17"/>
      <c r="C31" s="17"/>
      <c r="D31" s="17"/>
      <c r="E31" s="17"/>
      <c r="F31" s="17"/>
      <c r="G31" s="17"/>
      <c r="H31" s="17"/>
      <c r="I31" s="17"/>
    </row>
    <row r="32" spans="1:9" ht="13.5" customHeight="1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3.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3.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3.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3.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3.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3.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13.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13.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spans="1:9" ht="13.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3.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spans="1:9" ht="13.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3.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3.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3.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3.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3.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3.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3.5" customHeight="1">
      <c r="A200" s="17"/>
      <c r="B200" s="17"/>
      <c r="C200" s="17"/>
      <c r="D200" s="17"/>
      <c r="E200" s="17"/>
      <c r="F200" s="17"/>
      <c r="G200" s="17"/>
      <c r="H200" s="17"/>
      <c r="I20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"/>
  <sheetViews>
    <sheetView showGridLines="0" topLeftCell="B1" zoomScale="98" workbookViewId="0">
      <selection activeCell="E5" sqref="E5"/>
    </sheetView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96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4" t="s">
        <v>103</v>
      </c>
      <c r="I1" s="5"/>
    </row>
    <row r="2" spans="1:9" ht="15" customHeight="1">
      <c r="A2" s="30">
        <v>0</v>
      </c>
      <c r="B2" s="7" t="s">
        <v>133</v>
      </c>
      <c r="C2" s="8">
        <v>160</v>
      </c>
      <c r="D2" s="8">
        <v>20</v>
      </c>
      <c r="E2" s="8">
        <v>30</v>
      </c>
      <c r="F2" s="7" t="s">
        <v>134</v>
      </c>
      <c r="G2" s="7" t="s">
        <v>106</v>
      </c>
      <c r="H2" s="10">
        <v>8</v>
      </c>
      <c r="I2" s="5"/>
    </row>
    <row r="3" spans="1:9" ht="15" customHeight="1">
      <c r="A3" s="31">
        <v>1</v>
      </c>
      <c r="B3" s="12" t="s">
        <v>107</v>
      </c>
      <c r="C3" s="13">
        <v>870</v>
      </c>
      <c r="D3" s="13">
        <v>600</v>
      </c>
      <c r="E3" s="13">
        <v>570</v>
      </c>
      <c r="F3" s="12" t="s">
        <v>108</v>
      </c>
      <c r="G3" s="12" t="s">
        <v>5</v>
      </c>
      <c r="H3" s="15">
        <v>2</v>
      </c>
      <c r="I3" s="5"/>
    </row>
    <row r="4" spans="1:9" ht="15" customHeight="1">
      <c r="A4" s="30">
        <v>2</v>
      </c>
      <c r="B4" s="7" t="s">
        <v>111</v>
      </c>
      <c r="C4" s="8">
        <v>870</v>
      </c>
      <c r="D4" s="8">
        <v>600</v>
      </c>
      <c r="E4" s="8">
        <v>570</v>
      </c>
      <c r="F4" s="7" t="s">
        <v>112</v>
      </c>
      <c r="G4" s="7" t="s">
        <v>5</v>
      </c>
      <c r="H4" s="10">
        <v>1</v>
      </c>
      <c r="I4" s="5"/>
    </row>
    <row r="5" spans="1:9" ht="15" customHeight="1">
      <c r="A5" s="31">
        <v>3</v>
      </c>
      <c r="B5" s="12" t="s">
        <v>113</v>
      </c>
      <c r="C5" s="13">
        <v>720</v>
      </c>
      <c r="D5" s="13">
        <v>600</v>
      </c>
      <c r="E5" s="13">
        <v>350</v>
      </c>
      <c r="F5" s="12" t="s">
        <v>114</v>
      </c>
      <c r="G5" s="12" t="s">
        <v>5</v>
      </c>
      <c r="H5" s="15">
        <v>2</v>
      </c>
      <c r="I5" s="5"/>
    </row>
    <row r="6" spans="1:9" ht="15" customHeight="1">
      <c r="A6" s="30">
        <v>4</v>
      </c>
      <c r="B6" s="7" t="s">
        <v>115</v>
      </c>
      <c r="C6" s="8">
        <v>720</v>
      </c>
      <c r="D6" s="8">
        <v>600</v>
      </c>
      <c r="E6" s="8">
        <v>350</v>
      </c>
      <c r="F6" s="7" t="s">
        <v>116</v>
      </c>
      <c r="G6" s="7" t="s">
        <v>5</v>
      </c>
      <c r="H6" s="10">
        <v>1</v>
      </c>
      <c r="I6" s="5"/>
    </row>
    <row r="7" spans="1:9" ht="15" customHeight="1">
      <c r="A7" s="31">
        <v>5</v>
      </c>
      <c r="B7" s="12" t="s">
        <v>117</v>
      </c>
      <c r="C7" s="13">
        <v>2350</v>
      </c>
      <c r="D7" s="13">
        <v>18</v>
      </c>
      <c r="E7" s="13">
        <v>600</v>
      </c>
      <c r="F7" s="12" t="s">
        <v>117</v>
      </c>
      <c r="G7" s="12" t="s">
        <v>5</v>
      </c>
      <c r="H7" s="15">
        <v>1</v>
      </c>
      <c r="I7" s="5"/>
    </row>
    <row r="8" spans="1:9" ht="15" customHeight="1">
      <c r="A8" s="30">
        <v>6</v>
      </c>
      <c r="B8" s="7" t="s">
        <v>118</v>
      </c>
      <c r="C8" s="8">
        <v>890</v>
      </c>
      <c r="D8" s="8">
        <v>18</v>
      </c>
      <c r="E8" s="8">
        <v>1100</v>
      </c>
      <c r="F8" s="7" t="s">
        <v>118</v>
      </c>
      <c r="G8" s="7" t="s">
        <v>5</v>
      </c>
      <c r="H8" s="10">
        <v>1</v>
      </c>
      <c r="I8" s="5"/>
    </row>
    <row r="9" spans="1:9" ht="15" customHeight="1">
      <c r="A9" s="31">
        <v>7</v>
      </c>
      <c r="B9" s="12" t="s">
        <v>119</v>
      </c>
      <c r="C9" s="13">
        <v>2100</v>
      </c>
      <c r="D9" s="13">
        <v>18</v>
      </c>
      <c r="E9" s="13">
        <v>145</v>
      </c>
      <c r="F9" s="12" t="s">
        <v>119</v>
      </c>
      <c r="G9" s="12" t="s">
        <v>5</v>
      </c>
      <c r="H9" s="15">
        <v>2</v>
      </c>
      <c r="I9" s="5"/>
    </row>
    <row r="10" spans="1:9" ht="15" customHeight="1">
      <c r="A10" s="30">
        <v>8</v>
      </c>
      <c r="B10" s="7" t="s">
        <v>120</v>
      </c>
      <c r="C10" s="8">
        <v>2100</v>
      </c>
      <c r="D10" s="8">
        <v>18</v>
      </c>
      <c r="E10" s="8">
        <v>60</v>
      </c>
      <c r="F10" s="7" t="s">
        <v>120</v>
      </c>
      <c r="G10" s="7" t="s">
        <v>5</v>
      </c>
      <c r="H10" s="10">
        <v>1</v>
      </c>
      <c r="I10" s="5"/>
    </row>
    <row r="11" spans="1:9" ht="15" customHeight="1">
      <c r="A11" s="31">
        <v>9</v>
      </c>
      <c r="B11" s="12" t="s">
        <v>121</v>
      </c>
      <c r="C11" s="13">
        <v>2100</v>
      </c>
      <c r="D11" s="13">
        <v>18</v>
      </c>
      <c r="E11" s="13">
        <v>100</v>
      </c>
      <c r="F11" s="12" t="s">
        <v>121</v>
      </c>
      <c r="G11" s="12" t="s">
        <v>5</v>
      </c>
      <c r="H11" s="15">
        <v>1</v>
      </c>
      <c r="I11" s="5"/>
    </row>
    <row r="12" spans="1:9" ht="15" customHeight="1">
      <c r="A12" s="30">
        <v>20</v>
      </c>
      <c r="B12" s="7" t="s">
        <v>44</v>
      </c>
      <c r="C12" s="8">
        <v>200</v>
      </c>
      <c r="D12" s="8">
        <v>500</v>
      </c>
      <c r="E12" s="8">
        <v>250</v>
      </c>
      <c r="F12" s="7" t="s">
        <v>123</v>
      </c>
      <c r="G12" s="7" t="s">
        <v>106</v>
      </c>
      <c r="H12" s="10">
        <v>1</v>
      </c>
      <c r="I12" s="5"/>
    </row>
    <row r="13" spans="1:9" ht="15" customHeight="1">
      <c r="A13" s="31">
        <v>21</v>
      </c>
      <c r="B13" s="12" t="s">
        <v>124</v>
      </c>
      <c r="C13" s="13">
        <v>200</v>
      </c>
      <c r="D13" s="13">
        <v>550</v>
      </c>
      <c r="E13" s="13">
        <v>500</v>
      </c>
      <c r="F13" s="12" t="s">
        <v>124</v>
      </c>
      <c r="G13" s="12" t="s">
        <v>106</v>
      </c>
      <c r="H13" s="15">
        <v>1</v>
      </c>
      <c r="I13" s="5"/>
    </row>
    <row r="14" spans="1:9" ht="15" customHeight="1">
      <c r="A14" s="30">
        <v>22</v>
      </c>
      <c r="B14" s="7" t="s">
        <v>125</v>
      </c>
      <c r="C14" s="8">
        <v>200</v>
      </c>
      <c r="D14" s="8">
        <v>940</v>
      </c>
      <c r="E14" s="8">
        <v>500</v>
      </c>
      <c r="F14" s="7" t="s">
        <v>125</v>
      </c>
      <c r="G14" s="7" t="s">
        <v>106</v>
      </c>
      <c r="H14" s="10">
        <v>1</v>
      </c>
      <c r="I14" s="5"/>
    </row>
    <row r="15" spans="1:9" ht="15" customHeight="1">
      <c r="A15" s="31">
        <v>23</v>
      </c>
      <c r="B15" s="12" t="s">
        <v>126</v>
      </c>
      <c r="C15" s="13">
        <v>100</v>
      </c>
      <c r="D15" s="13">
        <v>500</v>
      </c>
      <c r="E15" s="13">
        <v>20</v>
      </c>
      <c r="F15" s="12" t="s">
        <v>126</v>
      </c>
      <c r="G15" s="12" t="s">
        <v>106</v>
      </c>
      <c r="H15" s="15">
        <v>1</v>
      </c>
      <c r="I15" s="5"/>
    </row>
    <row r="16" spans="1:9" ht="15" customHeight="1">
      <c r="A16" s="30">
        <v>24</v>
      </c>
      <c r="B16" s="7" t="s">
        <v>135</v>
      </c>
      <c r="C16" s="8">
        <v>25</v>
      </c>
      <c r="D16" s="8">
        <v>2200</v>
      </c>
      <c r="E16" s="8">
        <v>600</v>
      </c>
      <c r="F16" s="7" t="s">
        <v>136</v>
      </c>
      <c r="G16" s="7" t="s">
        <v>106</v>
      </c>
      <c r="H16" s="10">
        <v>1</v>
      </c>
      <c r="I16" s="5"/>
    </row>
    <row r="17" spans="1:9" ht="13.5" customHeight="1">
      <c r="A17" s="16"/>
      <c r="B17" s="16"/>
      <c r="C17" s="16"/>
      <c r="D17" s="16"/>
      <c r="E17" s="16"/>
      <c r="F17" s="16"/>
      <c r="G17" s="16"/>
      <c r="H17" s="16"/>
      <c r="I17" s="17"/>
    </row>
    <row r="18" spans="1:9" ht="13.5" customHeight="1">
      <c r="A18" s="17"/>
      <c r="B18" s="17"/>
      <c r="C18" s="17"/>
      <c r="D18" s="17"/>
      <c r="E18" s="17"/>
      <c r="F18" s="17"/>
      <c r="G18" s="17"/>
      <c r="H18" s="17"/>
      <c r="I18" s="17"/>
    </row>
    <row r="19" spans="1:9" ht="13.5" customHeight="1">
      <c r="A19" s="17"/>
      <c r="B19" s="17"/>
      <c r="C19" s="17"/>
      <c r="D19" s="17"/>
      <c r="E19" s="17"/>
      <c r="F19" s="17"/>
      <c r="G19" s="17"/>
      <c r="H19" s="17"/>
      <c r="I19" s="17"/>
    </row>
    <row r="20" spans="1:9" ht="13.5" customHeight="1">
      <c r="A20" s="17"/>
      <c r="B20" s="17"/>
      <c r="C20" s="17"/>
      <c r="D20" s="17"/>
      <c r="E20" s="17"/>
      <c r="F20" s="17"/>
      <c r="G20" s="17"/>
      <c r="H20" s="17"/>
      <c r="I20" s="17"/>
    </row>
    <row r="21" spans="1:9" ht="13.5" customHeight="1">
      <c r="A21" s="17"/>
      <c r="B21" s="17"/>
      <c r="C21" s="17"/>
      <c r="D21" s="17"/>
      <c r="E21" s="17"/>
      <c r="F21" s="17"/>
      <c r="G21" s="17"/>
      <c r="H21" s="17"/>
      <c r="I21" s="17"/>
    </row>
    <row r="22" spans="1:9" ht="13.5" customHeight="1">
      <c r="A22" s="17"/>
      <c r="B22" s="17"/>
      <c r="C22" s="17"/>
      <c r="D22" s="17"/>
      <c r="E22" s="17"/>
      <c r="F22" s="17"/>
      <c r="G22" s="17"/>
      <c r="H22" s="17"/>
      <c r="I22" s="17"/>
    </row>
    <row r="23" spans="1:9" ht="13.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3.5" customHeight="1">
      <c r="A24" s="17"/>
      <c r="B24" s="17"/>
      <c r="C24" s="17"/>
      <c r="D24" s="17"/>
      <c r="E24" s="17"/>
      <c r="F24" s="17"/>
      <c r="G24" s="17"/>
      <c r="H24" s="17"/>
      <c r="I24" s="17"/>
    </row>
    <row r="25" spans="1:9" ht="13.5" customHeight="1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3.5" customHeight="1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3.5" customHeight="1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3.5" customHeight="1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3.5" customHeight="1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3.5" customHeight="1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3.5" customHeight="1">
      <c r="A31" s="17"/>
      <c r="B31" s="17"/>
      <c r="C31" s="17"/>
      <c r="D31" s="17"/>
      <c r="E31" s="17"/>
      <c r="F31" s="17"/>
      <c r="G31" s="17"/>
      <c r="H31" s="17"/>
      <c r="I31" s="17"/>
    </row>
    <row r="32" spans="1:9" ht="13.5" customHeight="1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3.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3.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3.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3.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3.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3.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13.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13.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spans="1:9" ht="13.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3.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spans="1:9" ht="13.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3.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3.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3.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3.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3.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3.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3.5" customHeight="1">
      <c r="A200" s="17"/>
      <c r="B200" s="17"/>
      <c r="C200" s="17"/>
      <c r="D200" s="17"/>
      <c r="E200" s="17"/>
      <c r="F200" s="17"/>
      <c r="G200" s="17"/>
      <c r="H200" s="17"/>
      <c r="I20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0"/>
  <sheetViews>
    <sheetView showGridLines="0" workbookViewId="0">
      <selection activeCell="G24" sqref="G24"/>
    </sheetView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96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4" t="s">
        <v>103</v>
      </c>
      <c r="I1" s="5"/>
    </row>
    <row r="2" spans="1:9" ht="15" customHeight="1">
      <c r="A2" s="30">
        <v>0</v>
      </c>
      <c r="B2" s="7" t="s">
        <v>137</v>
      </c>
      <c r="C2" s="8">
        <v>160</v>
      </c>
      <c r="D2" s="8">
        <v>20</v>
      </c>
      <c r="E2" s="8">
        <v>30</v>
      </c>
      <c r="F2" s="7" t="s">
        <v>138</v>
      </c>
      <c r="G2" s="7" t="s">
        <v>106</v>
      </c>
      <c r="H2" s="10">
        <v>14</v>
      </c>
      <c r="I2" s="5"/>
    </row>
    <row r="3" spans="1:9" ht="15" customHeight="1">
      <c r="A3" s="31">
        <v>1</v>
      </c>
      <c r="B3" s="12" t="s">
        <v>139</v>
      </c>
      <c r="C3" s="13">
        <v>2300</v>
      </c>
      <c r="D3" s="13">
        <v>600</v>
      </c>
      <c r="E3" s="13">
        <v>570</v>
      </c>
      <c r="F3" s="12" t="s">
        <v>140</v>
      </c>
      <c r="G3" s="12" t="s">
        <v>5</v>
      </c>
      <c r="H3" s="15">
        <v>1</v>
      </c>
      <c r="I3" s="5"/>
    </row>
    <row r="4" spans="1:9" ht="15" customHeight="1">
      <c r="A4" s="30">
        <v>2</v>
      </c>
      <c r="B4" s="7" t="s">
        <v>107</v>
      </c>
      <c r="C4" s="8">
        <v>870</v>
      </c>
      <c r="D4" s="8">
        <v>600</v>
      </c>
      <c r="E4" s="8">
        <v>570</v>
      </c>
      <c r="F4" s="7" t="s">
        <v>108</v>
      </c>
      <c r="G4" s="7" t="s">
        <v>5</v>
      </c>
      <c r="H4" s="10">
        <v>2</v>
      </c>
      <c r="I4" s="5"/>
    </row>
    <row r="5" spans="1:9" ht="15" customHeight="1">
      <c r="A5" s="31">
        <v>3</v>
      </c>
      <c r="B5" s="12" t="s">
        <v>141</v>
      </c>
      <c r="C5" s="13">
        <v>870</v>
      </c>
      <c r="D5" s="13">
        <v>900</v>
      </c>
      <c r="E5" s="13">
        <v>570</v>
      </c>
      <c r="F5" s="12" t="s">
        <v>142</v>
      </c>
      <c r="G5" s="12" t="s">
        <v>5</v>
      </c>
      <c r="H5" s="15">
        <v>1</v>
      </c>
      <c r="I5" s="5"/>
    </row>
    <row r="6" spans="1:9" ht="15" customHeight="1">
      <c r="A6" s="30">
        <v>4</v>
      </c>
      <c r="B6" s="7" t="s">
        <v>109</v>
      </c>
      <c r="C6" s="8">
        <v>870</v>
      </c>
      <c r="D6" s="8">
        <v>550</v>
      </c>
      <c r="E6" s="8">
        <v>570</v>
      </c>
      <c r="F6" s="7" t="s">
        <v>110</v>
      </c>
      <c r="G6" s="7" t="s">
        <v>5</v>
      </c>
      <c r="H6" s="10">
        <v>1</v>
      </c>
      <c r="I6" s="5"/>
    </row>
    <row r="7" spans="1:9" ht="15" customHeight="1">
      <c r="A7" s="31">
        <v>5</v>
      </c>
      <c r="B7" s="12" t="s">
        <v>111</v>
      </c>
      <c r="C7" s="13">
        <v>870</v>
      </c>
      <c r="D7" s="13">
        <v>600</v>
      </c>
      <c r="E7" s="13">
        <v>570</v>
      </c>
      <c r="F7" s="12" t="s">
        <v>112</v>
      </c>
      <c r="G7" s="12" t="s">
        <v>5</v>
      </c>
      <c r="H7" s="15">
        <v>1</v>
      </c>
      <c r="I7" s="5"/>
    </row>
    <row r="8" spans="1:9" ht="15" customHeight="1">
      <c r="A8" s="30">
        <v>6</v>
      </c>
      <c r="B8" s="7" t="s">
        <v>113</v>
      </c>
      <c r="C8" s="8">
        <v>720</v>
      </c>
      <c r="D8" s="8">
        <v>600</v>
      </c>
      <c r="E8" s="8">
        <v>350</v>
      </c>
      <c r="F8" s="7" t="s">
        <v>114</v>
      </c>
      <c r="G8" s="7" t="s">
        <v>5</v>
      </c>
      <c r="H8" s="10">
        <v>2</v>
      </c>
      <c r="I8" s="5"/>
    </row>
    <row r="9" spans="1:9" ht="15" customHeight="1">
      <c r="A9" s="31">
        <v>7</v>
      </c>
      <c r="B9" s="12" t="s">
        <v>143</v>
      </c>
      <c r="C9" s="13">
        <v>720</v>
      </c>
      <c r="D9" s="13">
        <v>900</v>
      </c>
      <c r="E9" s="13">
        <v>350</v>
      </c>
      <c r="F9" s="12" t="s">
        <v>144</v>
      </c>
      <c r="G9" s="12" t="s">
        <v>5</v>
      </c>
      <c r="H9" s="15">
        <v>1</v>
      </c>
      <c r="I9" s="5"/>
    </row>
    <row r="10" spans="1:9" ht="15" customHeight="1">
      <c r="A10" s="30">
        <v>8</v>
      </c>
      <c r="B10" s="7" t="s">
        <v>117</v>
      </c>
      <c r="C10" s="8">
        <v>2450</v>
      </c>
      <c r="D10" s="8">
        <v>18</v>
      </c>
      <c r="E10" s="8">
        <v>600</v>
      </c>
      <c r="F10" s="7" t="s">
        <v>117</v>
      </c>
      <c r="G10" s="7" t="s">
        <v>5</v>
      </c>
      <c r="H10" s="10">
        <v>2</v>
      </c>
      <c r="I10" s="5"/>
    </row>
    <row r="11" spans="1:9" ht="15" customHeight="1">
      <c r="A11" s="31">
        <v>9</v>
      </c>
      <c r="B11" s="12" t="s">
        <v>145</v>
      </c>
      <c r="C11" s="13">
        <v>715</v>
      </c>
      <c r="D11" s="13">
        <v>595</v>
      </c>
      <c r="E11" s="13">
        <v>570</v>
      </c>
      <c r="F11" s="12" t="s">
        <v>146</v>
      </c>
      <c r="G11" s="12" t="s">
        <v>5</v>
      </c>
      <c r="H11" s="15">
        <v>1</v>
      </c>
      <c r="I11" s="5"/>
    </row>
    <row r="12" spans="1:9" ht="15" customHeight="1">
      <c r="A12" s="30">
        <v>10</v>
      </c>
      <c r="B12" s="7" t="s">
        <v>147</v>
      </c>
      <c r="C12" s="8">
        <v>600</v>
      </c>
      <c r="D12" s="8">
        <v>18</v>
      </c>
      <c r="E12" s="8">
        <v>500</v>
      </c>
      <c r="F12" s="7" t="s">
        <v>148</v>
      </c>
      <c r="G12" s="7" t="s">
        <v>5</v>
      </c>
      <c r="H12" s="10">
        <v>1</v>
      </c>
      <c r="I12" s="5"/>
    </row>
    <row r="13" spans="1:9" ht="15" customHeight="1">
      <c r="A13" s="31">
        <v>11</v>
      </c>
      <c r="B13" s="12" t="s">
        <v>118</v>
      </c>
      <c r="C13" s="13">
        <v>890</v>
      </c>
      <c r="D13" s="13">
        <v>18</v>
      </c>
      <c r="E13" s="13">
        <v>1500</v>
      </c>
      <c r="F13" s="12" t="s">
        <v>118</v>
      </c>
      <c r="G13" s="12" t="s">
        <v>5</v>
      </c>
      <c r="H13" s="15">
        <v>1</v>
      </c>
      <c r="I13" s="5"/>
    </row>
    <row r="14" spans="1:9" ht="15" customHeight="1">
      <c r="A14" s="30">
        <v>12</v>
      </c>
      <c r="B14" s="7" t="s">
        <v>119</v>
      </c>
      <c r="C14" s="8">
        <v>2450</v>
      </c>
      <c r="D14" s="8">
        <v>18</v>
      </c>
      <c r="E14" s="8">
        <v>145</v>
      </c>
      <c r="F14" s="7" t="s">
        <v>119</v>
      </c>
      <c r="G14" s="7" t="s">
        <v>5</v>
      </c>
      <c r="H14" s="10">
        <v>2</v>
      </c>
      <c r="I14" s="5"/>
    </row>
    <row r="15" spans="1:9" ht="15" customHeight="1">
      <c r="A15" s="31">
        <v>13</v>
      </c>
      <c r="B15" s="12" t="s">
        <v>120</v>
      </c>
      <c r="C15" s="13">
        <v>2450</v>
      </c>
      <c r="D15" s="13">
        <v>18</v>
      </c>
      <c r="E15" s="13">
        <v>60</v>
      </c>
      <c r="F15" s="12" t="s">
        <v>120</v>
      </c>
      <c r="G15" s="12" t="s">
        <v>5</v>
      </c>
      <c r="H15" s="15">
        <v>1</v>
      </c>
      <c r="I15" s="5"/>
    </row>
    <row r="16" spans="1:9" ht="15" customHeight="1">
      <c r="A16" s="30">
        <v>14</v>
      </c>
      <c r="B16" s="7" t="s">
        <v>121</v>
      </c>
      <c r="C16" s="8">
        <v>2450</v>
      </c>
      <c r="D16" s="8">
        <v>18</v>
      </c>
      <c r="E16" s="8">
        <v>100</v>
      </c>
      <c r="F16" s="7" t="s">
        <v>121</v>
      </c>
      <c r="G16" s="7" t="s">
        <v>5</v>
      </c>
      <c r="H16" s="10">
        <v>2</v>
      </c>
      <c r="I16" s="5"/>
    </row>
    <row r="17" spans="1:9" ht="15" customHeight="1">
      <c r="A17" s="31">
        <v>15</v>
      </c>
      <c r="B17" s="12" t="s">
        <v>122</v>
      </c>
      <c r="C17" s="13">
        <v>890</v>
      </c>
      <c r="D17" s="13">
        <v>18</v>
      </c>
      <c r="E17" s="13">
        <v>600</v>
      </c>
      <c r="F17" s="12" t="s">
        <v>122</v>
      </c>
      <c r="G17" s="12" t="s">
        <v>7</v>
      </c>
      <c r="H17" s="15">
        <v>1</v>
      </c>
      <c r="I17" s="5"/>
    </row>
    <row r="18" spans="1:9" ht="15" customHeight="1">
      <c r="A18" s="30">
        <v>30</v>
      </c>
      <c r="B18" s="7" t="s">
        <v>44</v>
      </c>
      <c r="C18" s="8">
        <v>200</v>
      </c>
      <c r="D18" s="8">
        <v>500</v>
      </c>
      <c r="E18" s="8">
        <v>250</v>
      </c>
      <c r="F18" s="7" t="s">
        <v>123</v>
      </c>
      <c r="G18" s="7" t="s">
        <v>106</v>
      </c>
      <c r="H18" s="10">
        <v>1</v>
      </c>
      <c r="I18" s="5"/>
    </row>
    <row r="19" spans="1:9" ht="15" customHeight="1">
      <c r="A19" s="31">
        <v>31</v>
      </c>
      <c r="B19" s="12" t="s">
        <v>124</v>
      </c>
      <c r="C19" s="13">
        <v>200</v>
      </c>
      <c r="D19" s="13">
        <v>550</v>
      </c>
      <c r="E19" s="13">
        <v>500</v>
      </c>
      <c r="F19" s="12" t="s">
        <v>124</v>
      </c>
      <c r="G19" s="12" t="s">
        <v>106</v>
      </c>
      <c r="H19" s="15">
        <v>1</v>
      </c>
      <c r="I19" s="5"/>
    </row>
    <row r="20" spans="1:9" ht="15" customHeight="1">
      <c r="A20" s="30">
        <v>32</v>
      </c>
      <c r="B20" s="7" t="s">
        <v>125</v>
      </c>
      <c r="C20" s="8">
        <v>200</v>
      </c>
      <c r="D20" s="8">
        <v>940</v>
      </c>
      <c r="E20" s="8">
        <v>500</v>
      </c>
      <c r="F20" s="7" t="s">
        <v>125</v>
      </c>
      <c r="G20" s="7" t="s">
        <v>106</v>
      </c>
      <c r="H20" s="10">
        <v>1</v>
      </c>
      <c r="I20" s="5"/>
    </row>
    <row r="21" spans="1:9" ht="15" customHeight="1">
      <c r="A21" s="31">
        <v>33</v>
      </c>
      <c r="B21" s="12" t="s">
        <v>126</v>
      </c>
      <c r="C21" s="13">
        <v>100</v>
      </c>
      <c r="D21" s="13">
        <v>500</v>
      </c>
      <c r="E21" s="13">
        <v>20</v>
      </c>
      <c r="F21" s="12" t="s">
        <v>126</v>
      </c>
      <c r="G21" s="12" t="s">
        <v>106</v>
      </c>
      <c r="H21" s="15">
        <v>1</v>
      </c>
      <c r="I21" s="5"/>
    </row>
    <row r="22" spans="1:9" ht="15" customHeight="1">
      <c r="A22" s="30">
        <v>34</v>
      </c>
      <c r="B22" s="7" t="s">
        <v>149</v>
      </c>
      <c r="C22" s="8">
        <v>520</v>
      </c>
      <c r="D22" s="8">
        <v>590</v>
      </c>
      <c r="E22" s="8">
        <v>55</v>
      </c>
      <c r="F22" s="7" t="s">
        <v>150</v>
      </c>
      <c r="G22" s="7" t="s">
        <v>42</v>
      </c>
      <c r="H22" s="10">
        <v>1</v>
      </c>
      <c r="I22" s="5"/>
    </row>
    <row r="23" spans="1:9" ht="15" customHeight="1">
      <c r="A23" s="31">
        <v>35</v>
      </c>
      <c r="B23" s="12" t="s">
        <v>151</v>
      </c>
      <c r="C23" s="13">
        <v>595</v>
      </c>
      <c r="D23" s="13">
        <v>595</v>
      </c>
      <c r="E23" s="13">
        <v>570</v>
      </c>
      <c r="F23" s="12" t="s">
        <v>152</v>
      </c>
      <c r="G23" s="12" t="s">
        <v>42</v>
      </c>
      <c r="H23" s="15">
        <v>1</v>
      </c>
      <c r="I23" s="5"/>
    </row>
    <row r="24" spans="1:9" ht="15" customHeight="1">
      <c r="A24" s="30">
        <v>36</v>
      </c>
      <c r="B24" s="7" t="s">
        <v>153</v>
      </c>
      <c r="C24" s="8">
        <v>440</v>
      </c>
      <c r="D24" s="8">
        <v>258</v>
      </c>
      <c r="E24" s="8">
        <v>357</v>
      </c>
      <c r="F24" s="7" t="s">
        <v>154</v>
      </c>
      <c r="G24" s="7" t="s">
        <v>42</v>
      </c>
      <c r="H24" s="10">
        <v>1</v>
      </c>
      <c r="I24" s="5"/>
    </row>
    <row r="25" spans="1:9" ht="15" customHeight="1">
      <c r="A25" s="31">
        <v>37</v>
      </c>
      <c r="B25" s="12" t="s">
        <v>155</v>
      </c>
      <c r="C25" s="13">
        <v>540</v>
      </c>
      <c r="D25" s="13">
        <v>1770</v>
      </c>
      <c r="E25" s="13">
        <v>545</v>
      </c>
      <c r="F25" s="12" t="s">
        <v>156</v>
      </c>
      <c r="G25" s="12" t="s">
        <v>42</v>
      </c>
      <c r="H25" s="15">
        <v>1</v>
      </c>
      <c r="I25" s="5"/>
    </row>
    <row r="26" spans="1:9" ht="15" customHeight="1">
      <c r="A26" s="30">
        <v>38</v>
      </c>
      <c r="B26" s="7" t="s">
        <v>157</v>
      </c>
      <c r="C26" s="8">
        <v>598</v>
      </c>
      <c r="D26" s="8">
        <v>820</v>
      </c>
      <c r="E26" s="8">
        <v>555</v>
      </c>
      <c r="F26" s="7" t="s">
        <v>158</v>
      </c>
      <c r="G26" s="7" t="s">
        <v>42</v>
      </c>
      <c r="H26" s="10">
        <v>1</v>
      </c>
      <c r="I26" s="5"/>
    </row>
    <row r="27" spans="1:9" ht="15" customHeight="1">
      <c r="A27" s="31">
        <v>39</v>
      </c>
      <c r="B27" s="12" t="s">
        <v>159</v>
      </c>
      <c r="C27" s="13">
        <v>595</v>
      </c>
      <c r="D27" s="13">
        <v>850</v>
      </c>
      <c r="E27" s="13">
        <v>605</v>
      </c>
      <c r="F27" s="12" t="s">
        <v>159</v>
      </c>
      <c r="G27" s="12" t="s">
        <v>42</v>
      </c>
      <c r="H27" s="15">
        <v>1</v>
      </c>
      <c r="I27" s="5"/>
    </row>
    <row r="28" spans="1:9" ht="15" customHeight="1">
      <c r="A28" s="30">
        <v>40</v>
      </c>
      <c r="B28" s="7" t="s">
        <v>160</v>
      </c>
      <c r="C28" s="8">
        <v>595</v>
      </c>
      <c r="D28" s="8">
        <v>850</v>
      </c>
      <c r="E28" s="8">
        <v>610</v>
      </c>
      <c r="F28" s="7" t="s">
        <v>161</v>
      </c>
      <c r="G28" s="7" t="s">
        <v>42</v>
      </c>
      <c r="H28" s="10">
        <v>1</v>
      </c>
      <c r="I28" s="5"/>
    </row>
    <row r="29" spans="1:9" ht="15" customHeight="1">
      <c r="A29" s="31">
        <v>41</v>
      </c>
      <c r="B29" s="12" t="s">
        <v>127</v>
      </c>
      <c r="C29" s="13">
        <v>20</v>
      </c>
      <c r="D29" s="13">
        <v>2500</v>
      </c>
      <c r="E29" s="13">
        <v>600</v>
      </c>
      <c r="F29" s="12" t="s">
        <v>128</v>
      </c>
      <c r="G29" s="12" t="s">
        <v>106</v>
      </c>
      <c r="H29" s="15">
        <v>1</v>
      </c>
      <c r="I29" s="5"/>
    </row>
    <row r="30" spans="1:9" ht="15" customHeight="1">
      <c r="A30" s="30">
        <v>42</v>
      </c>
      <c r="B30" s="7" t="s">
        <v>129</v>
      </c>
      <c r="C30" s="8">
        <v>20</v>
      </c>
      <c r="D30" s="8">
        <v>2500</v>
      </c>
      <c r="E30" s="8">
        <v>600</v>
      </c>
      <c r="F30" s="7" t="s">
        <v>130</v>
      </c>
      <c r="G30" s="7" t="s">
        <v>106</v>
      </c>
      <c r="H30" s="10">
        <v>1</v>
      </c>
      <c r="I30" s="5"/>
    </row>
    <row r="31" spans="1:9" ht="15" customHeight="1">
      <c r="A31" s="31">
        <v>43</v>
      </c>
      <c r="B31" s="12" t="s">
        <v>131</v>
      </c>
      <c r="C31" s="13">
        <v>25</v>
      </c>
      <c r="D31" s="13">
        <v>1400</v>
      </c>
      <c r="E31" s="13">
        <v>600</v>
      </c>
      <c r="F31" s="12" t="s">
        <v>132</v>
      </c>
      <c r="G31" s="12" t="s">
        <v>7</v>
      </c>
      <c r="H31" s="15">
        <v>1</v>
      </c>
      <c r="I31" s="5"/>
    </row>
    <row r="32" spans="1:9" ht="13.5" customHeight="1">
      <c r="A32" s="16"/>
      <c r="B32" s="16"/>
      <c r="C32" s="16"/>
      <c r="D32" s="16"/>
      <c r="E32" s="16"/>
      <c r="F32" s="16"/>
      <c r="G32" s="16"/>
      <c r="H32" s="16"/>
      <c r="I32" s="17"/>
    </row>
    <row r="33" spans="1:9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3.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3.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3.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3.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3.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3.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13.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13.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spans="1:9" ht="13.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3.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spans="1:9" ht="13.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3.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3.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3.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3.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3.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3.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3.5" customHeight="1">
      <c r="A200" s="17"/>
      <c r="B200" s="17"/>
      <c r="C200" s="17"/>
      <c r="D200" s="17"/>
      <c r="E200" s="17"/>
      <c r="F200" s="17"/>
      <c r="G200" s="17"/>
      <c r="H200" s="17"/>
      <c r="I20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0"/>
  <sheetViews>
    <sheetView showGridLines="0" topLeftCell="A28" workbookViewId="0"/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96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4" t="s">
        <v>103</v>
      </c>
      <c r="I1" s="5"/>
    </row>
    <row r="2" spans="1:9" ht="15" customHeight="1">
      <c r="A2" s="30">
        <v>0</v>
      </c>
      <c r="B2" s="7" t="s">
        <v>162</v>
      </c>
      <c r="C2" s="8">
        <v>30</v>
      </c>
      <c r="D2" s="8">
        <v>30</v>
      </c>
      <c r="E2" s="32"/>
      <c r="F2" s="7" t="s">
        <v>163</v>
      </c>
      <c r="G2" s="7" t="s">
        <v>5</v>
      </c>
      <c r="H2" s="10">
        <v>15</v>
      </c>
      <c r="I2" s="5"/>
    </row>
    <row r="3" spans="1:9" ht="15" customHeight="1">
      <c r="A3" s="31">
        <v>1</v>
      </c>
      <c r="B3" s="12" t="s">
        <v>139</v>
      </c>
      <c r="C3" s="13">
        <v>2300</v>
      </c>
      <c r="D3" s="13">
        <v>600</v>
      </c>
      <c r="E3" s="13">
        <v>570</v>
      </c>
      <c r="F3" s="12" t="s">
        <v>140</v>
      </c>
      <c r="G3" s="12" t="s">
        <v>5</v>
      </c>
      <c r="H3" s="15">
        <v>1</v>
      </c>
      <c r="I3" s="5"/>
    </row>
    <row r="4" spans="1:9" ht="15" customHeight="1">
      <c r="A4" s="30">
        <v>2</v>
      </c>
      <c r="B4" s="7" t="s">
        <v>107</v>
      </c>
      <c r="C4" s="8">
        <v>870</v>
      </c>
      <c r="D4" s="8">
        <v>600</v>
      </c>
      <c r="E4" s="8">
        <v>570</v>
      </c>
      <c r="F4" s="7" t="s">
        <v>108</v>
      </c>
      <c r="G4" s="7" t="s">
        <v>5</v>
      </c>
      <c r="H4" s="10">
        <v>1</v>
      </c>
      <c r="I4" s="5"/>
    </row>
    <row r="5" spans="1:9" ht="15" customHeight="1">
      <c r="A5" s="31">
        <v>3</v>
      </c>
      <c r="B5" s="12" t="s">
        <v>141</v>
      </c>
      <c r="C5" s="13">
        <v>870</v>
      </c>
      <c r="D5" s="13">
        <v>900</v>
      </c>
      <c r="E5" s="13">
        <v>570</v>
      </c>
      <c r="F5" s="12" t="s">
        <v>142</v>
      </c>
      <c r="G5" s="12" t="s">
        <v>5</v>
      </c>
      <c r="H5" s="15">
        <v>1</v>
      </c>
      <c r="I5" s="5"/>
    </row>
    <row r="6" spans="1:9" ht="15" customHeight="1">
      <c r="A6" s="30">
        <v>4</v>
      </c>
      <c r="B6" s="7" t="s">
        <v>107</v>
      </c>
      <c r="C6" s="8">
        <v>870</v>
      </c>
      <c r="D6" s="8">
        <v>600</v>
      </c>
      <c r="E6" s="8">
        <v>570</v>
      </c>
      <c r="F6" s="7" t="s">
        <v>108</v>
      </c>
      <c r="G6" s="7" t="s">
        <v>5</v>
      </c>
      <c r="H6" s="10">
        <v>1</v>
      </c>
      <c r="I6" s="5"/>
    </row>
    <row r="7" spans="1:9" ht="15" customHeight="1">
      <c r="A7" s="31">
        <v>5</v>
      </c>
      <c r="B7" s="12" t="s">
        <v>164</v>
      </c>
      <c r="C7" s="13">
        <v>2300</v>
      </c>
      <c r="D7" s="13">
        <v>600</v>
      </c>
      <c r="E7" s="13">
        <v>570</v>
      </c>
      <c r="F7" s="12" t="s">
        <v>164</v>
      </c>
      <c r="G7" s="12" t="s">
        <v>5</v>
      </c>
      <c r="H7" s="15">
        <v>1</v>
      </c>
      <c r="I7" s="5"/>
    </row>
    <row r="8" spans="1:9" ht="15" customHeight="1">
      <c r="A8" s="30">
        <v>6</v>
      </c>
      <c r="B8" s="7" t="s">
        <v>109</v>
      </c>
      <c r="C8" s="8">
        <v>870</v>
      </c>
      <c r="D8" s="8">
        <v>550</v>
      </c>
      <c r="E8" s="8">
        <v>570</v>
      </c>
      <c r="F8" s="7" t="s">
        <v>110</v>
      </c>
      <c r="G8" s="7" t="s">
        <v>5</v>
      </c>
      <c r="H8" s="10">
        <v>1</v>
      </c>
      <c r="I8" s="5"/>
    </row>
    <row r="9" spans="1:9" ht="15" customHeight="1">
      <c r="A9" s="31">
        <v>7</v>
      </c>
      <c r="B9" s="12" t="s">
        <v>111</v>
      </c>
      <c r="C9" s="13">
        <v>870</v>
      </c>
      <c r="D9" s="13">
        <v>600</v>
      </c>
      <c r="E9" s="13">
        <v>570</v>
      </c>
      <c r="F9" s="12" t="s">
        <v>112</v>
      </c>
      <c r="G9" s="12" t="s">
        <v>5</v>
      </c>
      <c r="H9" s="15">
        <v>1</v>
      </c>
      <c r="I9" s="5"/>
    </row>
    <row r="10" spans="1:9" ht="15" customHeight="1">
      <c r="A10" s="30">
        <v>8</v>
      </c>
      <c r="B10" s="7" t="s">
        <v>113</v>
      </c>
      <c r="C10" s="8">
        <v>720</v>
      </c>
      <c r="D10" s="8">
        <v>600</v>
      </c>
      <c r="E10" s="8">
        <v>350</v>
      </c>
      <c r="F10" s="7" t="s">
        <v>114</v>
      </c>
      <c r="G10" s="7" t="s">
        <v>5</v>
      </c>
      <c r="H10" s="10">
        <v>1</v>
      </c>
      <c r="I10" s="5"/>
    </row>
    <row r="11" spans="1:9" ht="15" customHeight="1">
      <c r="A11" s="31">
        <v>9</v>
      </c>
      <c r="B11" s="12" t="s">
        <v>165</v>
      </c>
      <c r="C11" s="13">
        <v>720</v>
      </c>
      <c r="D11" s="13">
        <v>900</v>
      </c>
      <c r="E11" s="13">
        <v>350</v>
      </c>
      <c r="F11" s="12" t="s">
        <v>144</v>
      </c>
      <c r="G11" s="12" t="s">
        <v>5</v>
      </c>
      <c r="H11" s="15">
        <v>1</v>
      </c>
      <c r="I11" s="5"/>
    </row>
    <row r="12" spans="1:9" ht="15" customHeight="1">
      <c r="A12" s="30">
        <v>10</v>
      </c>
      <c r="B12" s="7" t="s">
        <v>113</v>
      </c>
      <c r="C12" s="8">
        <v>720</v>
      </c>
      <c r="D12" s="8">
        <v>600</v>
      </c>
      <c r="E12" s="8">
        <v>350</v>
      </c>
      <c r="F12" s="7" t="s">
        <v>114</v>
      </c>
      <c r="G12" s="7" t="s">
        <v>5</v>
      </c>
      <c r="H12" s="10">
        <v>1</v>
      </c>
      <c r="I12" s="5"/>
    </row>
    <row r="13" spans="1:9" ht="15" customHeight="1">
      <c r="A13" s="31">
        <v>11</v>
      </c>
      <c r="B13" s="12" t="s">
        <v>117</v>
      </c>
      <c r="C13" s="13">
        <v>2550</v>
      </c>
      <c r="D13" s="13">
        <v>18</v>
      </c>
      <c r="E13" s="13">
        <v>600</v>
      </c>
      <c r="F13" s="12" t="s">
        <v>117</v>
      </c>
      <c r="G13" s="12" t="s">
        <v>5</v>
      </c>
      <c r="H13" s="15">
        <v>1</v>
      </c>
      <c r="I13" s="5"/>
    </row>
    <row r="14" spans="1:9" ht="15" customHeight="1">
      <c r="A14" s="30">
        <v>12</v>
      </c>
      <c r="B14" s="7" t="s">
        <v>117</v>
      </c>
      <c r="C14" s="8">
        <v>2550</v>
      </c>
      <c r="D14" s="8">
        <v>18</v>
      </c>
      <c r="E14" s="8">
        <v>600</v>
      </c>
      <c r="F14" s="7" t="s">
        <v>117</v>
      </c>
      <c r="G14" s="7" t="s">
        <v>5</v>
      </c>
      <c r="H14" s="10">
        <v>1</v>
      </c>
      <c r="I14" s="5"/>
    </row>
    <row r="15" spans="1:9" ht="15" customHeight="1">
      <c r="A15" s="31">
        <v>13</v>
      </c>
      <c r="B15" s="12" t="s">
        <v>145</v>
      </c>
      <c r="C15" s="13">
        <v>715</v>
      </c>
      <c r="D15" s="13">
        <v>595</v>
      </c>
      <c r="E15" s="13">
        <v>570</v>
      </c>
      <c r="F15" s="12" t="s">
        <v>145</v>
      </c>
      <c r="G15" s="12" t="s">
        <v>5</v>
      </c>
      <c r="H15" s="15">
        <v>1</v>
      </c>
      <c r="I15" s="5"/>
    </row>
    <row r="16" spans="1:9" ht="15" customHeight="1">
      <c r="A16" s="30">
        <v>14</v>
      </c>
      <c r="B16" s="7" t="s">
        <v>147</v>
      </c>
      <c r="C16" s="8">
        <v>600</v>
      </c>
      <c r="D16" s="8">
        <v>18</v>
      </c>
      <c r="E16" s="8">
        <v>500</v>
      </c>
      <c r="F16" s="7" t="s">
        <v>147</v>
      </c>
      <c r="G16" s="7" t="s">
        <v>5</v>
      </c>
      <c r="H16" s="10">
        <v>1</v>
      </c>
      <c r="I16" s="5"/>
    </row>
    <row r="17" spans="1:9" ht="15" customHeight="1">
      <c r="A17" s="31">
        <v>15</v>
      </c>
      <c r="B17" s="12" t="s">
        <v>166</v>
      </c>
      <c r="C17" s="13">
        <v>890</v>
      </c>
      <c r="D17" s="13">
        <v>18</v>
      </c>
      <c r="E17" s="13">
        <v>615</v>
      </c>
      <c r="F17" s="12" t="s">
        <v>166</v>
      </c>
      <c r="G17" s="12" t="s">
        <v>5</v>
      </c>
      <c r="H17" s="15">
        <v>1</v>
      </c>
      <c r="I17" s="5"/>
    </row>
    <row r="18" spans="1:9" ht="15" customHeight="1">
      <c r="A18" s="30">
        <v>16</v>
      </c>
      <c r="B18" s="7" t="s">
        <v>118</v>
      </c>
      <c r="C18" s="8">
        <v>890</v>
      </c>
      <c r="D18" s="8">
        <v>18</v>
      </c>
      <c r="E18" s="8">
        <v>1850</v>
      </c>
      <c r="F18" s="7" t="s">
        <v>118</v>
      </c>
      <c r="G18" s="7" t="s">
        <v>5</v>
      </c>
      <c r="H18" s="10">
        <v>1</v>
      </c>
      <c r="I18" s="5"/>
    </row>
    <row r="19" spans="1:9" ht="15" customHeight="1">
      <c r="A19" s="31">
        <v>17</v>
      </c>
      <c r="B19" s="12" t="s">
        <v>119</v>
      </c>
      <c r="C19" s="13">
        <v>2630</v>
      </c>
      <c r="D19" s="13">
        <v>18</v>
      </c>
      <c r="E19" s="13">
        <v>145</v>
      </c>
      <c r="F19" s="12" t="s">
        <v>119</v>
      </c>
      <c r="G19" s="12" t="s">
        <v>5</v>
      </c>
      <c r="H19" s="15">
        <v>2</v>
      </c>
      <c r="I19" s="5"/>
    </row>
    <row r="20" spans="1:9" ht="15" customHeight="1">
      <c r="A20" s="30">
        <v>18</v>
      </c>
      <c r="B20" s="7" t="s">
        <v>167</v>
      </c>
      <c r="C20" s="8">
        <v>2750</v>
      </c>
      <c r="D20" s="8">
        <v>18</v>
      </c>
      <c r="E20" s="8">
        <v>145</v>
      </c>
      <c r="F20" s="7" t="s">
        <v>167</v>
      </c>
      <c r="G20" s="7" t="s">
        <v>5</v>
      </c>
      <c r="H20" s="10">
        <v>1</v>
      </c>
      <c r="I20" s="5"/>
    </row>
    <row r="21" spans="1:9" ht="15" customHeight="1">
      <c r="A21" s="31">
        <v>19</v>
      </c>
      <c r="B21" s="12" t="s">
        <v>168</v>
      </c>
      <c r="C21" s="13">
        <v>595</v>
      </c>
      <c r="D21" s="13">
        <v>70</v>
      </c>
      <c r="E21" s="13">
        <v>22</v>
      </c>
      <c r="F21" s="12" t="s">
        <v>168</v>
      </c>
      <c r="G21" s="12" t="s">
        <v>5</v>
      </c>
      <c r="H21" s="15">
        <v>1</v>
      </c>
      <c r="I21" s="5"/>
    </row>
    <row r="22" spans="1:9" ht="15" customHeight="1">
      <c r="A22" s="30">
        <v>20</v>
      </c>
      <c r="B22" s="7" t="s">
        <v>120</v>
      </c>
      <c r="C22" s="8">
        <v>2630</v>
      </c>
      <c r="D22" s="8">
        <v>18</v>
      </c>
      <c r="E22" s="8">
        <v>60</v>
      </c>
      <c r="F22" s="7" t="s">
        <v>120</v>
      </c>
      <c r="G22" s="7" t="s">
        <v>5</v>
      </c>
      <c r="H22" s="10">
        <v>1</v>
      </c>
      <c r="I22" s="5"/>
    </row>
    <row r="23" spans="1:9" ht="15" customHeight="1">
      <c r="A23" s="31">
        <v>21</v>
      </c>
      <c r="B23" s="12" t="s">
        <v>169</v>
      </c>
      <c r="C23" s="13">
        <v>2630</v>
      </c>
      <c r="D23" s="13">
        <v>18</v>
      </c>
      <c r="E23" s="13">
        <v>100</v>
      </c>
      <c r="F23" s="12" t="s">
        <v>169</v>
      </c>
      <c r="G23" s="12" t="s">
        <v>5</v>
      </c>
      <c r="H23" s="15">
        <v>2</v>
      </c>
      <c r="I23" s="5"/>
    </row>
    <row r="24" spans="1:9" ht="15" customHeight="1">
      <c r="A24" s="30">
        <v>22</v>
      </c>
      <c r="B24" s="7" t="s">
        <v>121</v>
      </c>
      <c r="C24" s="8">
        <v>2630</v>
      </c>
      <c r="D24" s="8">
        <v>18</v>
      </c>
      <c r="E24" s="8">
        <v>100</v>
      </c>
      <c r="F24" s="7" t="s">
        <v>121</v>
      </c>
      <c r="G24" s="7" t="s">
        <v>5</v>
      </c>
      <c r="H24" s="10">
        <v>2</v>
      </c>
      <c r="I24" s="5"/>
    </row>
    <row r="25" spans="1:9" ht="15" customHeight="1">
      <c r="A25" s="31">
        <v>23</v>
      </c>
      <c r="B25" s="12" t="s">
        <v>121</v>
      </c>
      <c r="C25" s="13">
        <v>2750</v>
      </c>
      <c r="D25" s="13">
        <v>18</v>
      </c>
      <c r="E25" s="13">
        <v>100</v>
      </c>
      <c r="F25" s="12" t="s">
        <v>121</v>
      </c>
      <c r="G25" s="12" t="s">
        <v>5</v>
      </c>
      <c r="H25" s="15">
        <v>1</v>
      </c>
      <c r="I25" s="5"/>
    </row>
    <row r="26" spans="1:9" ht="15" customHeight="1">
      <c r="A26" s="30">
        <v>24</v>
      </c>
      <c r="B26" s="7" t="s">
        <v>122</v>
      </c>
      <c r="C26" s="8">
        <v>890</v>
      </c>
      <c r="D26" s="8">
        <v>18</v>
      </c>
      <c r="E26" s="8">
        <v>600</v>
      </c>
      <c r="F26" s="7" t="s">
        <v>122</v>
      </c>
      <c r="G26" s="7" t="s">
        <v>7</v>
      </c>
      <c r="H26" s="10">
        <v>1</v>
      </c>
      <c r="I26" s="5"/>
    </row>
    <row r="27" spans="1:9" ht="15" customHeight="1">
      <c r="A27" s="31">
        <v>30</v>
      </c>
      <c r="B27" s="12" t="s">
        <v>44</v>
      </c>
      <c r="C27" s="13">
        <v>200</v>
      </c>
      <c r="D27" s="13">
        <v>500</v>
      </c>
      <c r="E27" s="13">
        <v>250</v>
      </c>
      <c r="F27" s="12" t="s">
        <v>44</v>
      </c>
      <c r="G27" s="12" t="s">
        <v>106</v>
      </c>
      <c r="H27" s="15">
        <v>1</v>
      </c>
      <c r="I27" s="5"/>
    </row>
    <row r="28" spans="1:9" ht="15" customHeight="1">
      <c r="A28" s="30">
        <v>31</v>
      </c>
      <c r="B28" s="7" t="s">
        <v>124</v>
      </c>
      <c r="C28" s="8">
        <v>200</v>
      </c>
      <c r="D28" s="8">
        <v>550</v>
      </c>
      <c r="E28" s="8">
        <v>500</v>
      </c>
      <c r="F28" s="7" t="s">
        <v>124</v>
      </c>
      <c r="G28" s="7" t="s">
        <v>106</v>
      </c>
      <c r="H28" s="10">
        <v>1</v>
      </c>
      <c r="I28" s="5"/>
    </row>
    <row r="29" spans="1:9" ht="15" customHeight="1">
      <c r="A29" s="31">
        <v>32</v>
      </c>
      <c r="B29" s="12" t="s">
        <v>170</v>
      </c>
      <c r="C29" s="13">
        <v>200</v>
      </c>
      <c r="D29" s="13">
        <v>940</v>
      </c>
      <c r="E29" s="13">
        <v>500</v>
      </c>
      <c r="F29" s="12" t="s">
        <v>170</v>
      </c>
      <c r="G29" s="12" t="s">
        <v>106</v>
      </c>
      <c r="H29" s="15">
        <v>1</v>
      </c>
      <c r="I29" s="5"/>
    </row>
    <row r="30" spans="1:9" ht="15" customHeight="1">
      <c r="A30" s="30">
        <v>33</v>
      </c>
      <c r="B30" s="7" t="s">
        <v>171</v>
      </c>
      <c r="C30" s="8">
        <v>870</v>
      </c>
      <c r="D30" s="8">
        <v>450</v>
      </c>
      <c r="E30" s="8">
        <v>570</v>
      </c>
      <c r="F30" s="7" t="s">
        <v>171</v>
      </c>
      <c r="G30" s="7" t="s">
        <v>106</v>
      </c>
      <c r="H30" s="10">
        <v>21</v>
      </c>
      <c r="I30" s="5"/>
    </row>
    <row r="31" spans="1:9" ht="15" customHeight="1">
      <c r="A31" s="31">
        <v>34</v>
      </c>
      <c r="B31" s="12" t="s">
        <v>126</v>
      </c>
      <c r="C31" s="13">
        <v>100</v>
      </c>
      <c r="D31" s="13">
        <v>500</v>
      </c>
      <c r="E31" s="13">
        <v>20</v>
      </c>
      <c r="F31" s="12" t="s">
        <v>126</v>
      </c>
      <c r="G31" s="12" t="s">
        <v>106</v>
      </c>
      <c r="H31" s="15">
        <v>1</v>
      </c>
      <c r="I31" s="5"/>
    </row>
    <row r="32" spans="1:9" ht="15" customHeight="1">
      <c r="A32" s="30">
        <v>35</v>
      </c>
      <c r="B32" s="7" t="s">
        <v>135</v>
      </c>
      <c r="C32" s="8">
        <v>25</v>
      </c>
      <c r="D32" s="8">
        <v>2002</v>
      </c>
      <c r="E32" s="8">
        <v>600</v>
      </c>
      <c r="F32" s="7" t="s">
        <v>135</v>
      </c>
      <c r="G32" s="7" t="s">
        <v>106</v>
      </c>
      <c r="H32" s="10">
        <v>1</v>
      </c>
      <c r="I32" s="5"/>
    </row>
    <row r="33" spans="1:9" ht="15" customHeight="1">
      <c r="A33" s="31">
        <v>36</v>
      </c>
      <c r="B33" s="12" t="s">
        <v>135</v>
      </c>
      <c r="C33" s="13">
        <v>25</v>
      </c>
      <c r="D33" s="13">
        <v>1830</v>
      </c>
      <c r="E33" s="13">
        <v>900</v>
      </c>
      <c r="F33" s="12" t="s">
        <v>135</v>
      </c>
      <c r="G33" s="12" t="s">
        <v>106</v>
      </c>
      <c r="H33" s="15">
        <v>1</v>
      </c>
      <c r="I33" s="5"/>
    </row>
    <row r="34" spans="1:9" ht="15" customHeight="1">
      <c r="A34" s="30">
        <v>37</v>
      </c>
      <c r="B34" s="7" t="s">
        <v>135</v>
      </c>
      <c r="C34" s="8">
        <v>25</v>
      </c>
      <c r="D34" s="8">
        <v>1100</v>
      </c>
      <c r="E34" s="8">
        <v>600</v>
      </c>
      <c r="F34" s="7" t="s">
        <v>135</v>
      </c>
      <c r="G34" s="7" t="s">
        <v>106</v>
      </c>
      <c r="H34" s="10">
        <v>1</v>
      </c>
      <c r="I34" s="5"/>
    </row>
    <row r="35" spans="1:9" ht="15" customHeight="1">
      <c r="A35" s="31">
        <v>38</v>
      </c>
      <c r="B35" s="12" t="s">
        <v>172</v>
      </c>
      <c r="C35" s="13">
        <v>522</v>
      </c>
      <c r="D35" s="13">
        <v>592</v>
      </c>
      <c r="E35" s="13">
        <v>51</v>
      </c>
      <c r="F35" s="12" t="s">
        <v>173</v>
      </c>
      <c r="G35" s="12" t="s">
        <v>42</v>
      </c>
      <c r="H35" s="15">
        <v>1</v>
      </c>
      <c r="I35" s="5"/>
    </row>
    <row r="36" spans="1:9" ht="15" customHeight="1">
      <c r="A36" s="30">
        <v>39</v>
      </c>
      <c r="B36" s="7" t="s">
        <v>174</v>
      </c>
      <c r="C36" s="8">
        <v>594</v>
      </c>
      <c r="D36" s="8">
        <v>595</v>
      </c>
      <c r="E36" s="8">
        <v>548</v>
      </c>
      <c r="F36" s="7" t="s">
        <v>175</v>
      </c>
      <c r="G36" s="7" t="s">
        <v>42</v>
      </c>
      <c r="H36" s="10">
        <v>1</v>
      </c>
      <c r="I36" s="5"/>
    </row>
    <row r="37" spans="1:9" ht="15" customHeight="1">
      <c r="A37" s="31">
        <v>40</v>
      </c>
      <c r="B37" s="12" t="s">
        <v>176</v>
      </c>
      <c r="C37" s="13">
        <v>495</v>
      </c>
      <c r="D37" s="13">
        <v>382</v>
      </c>
      <c r="E37" s="13">
        <v>335</v>
      </c>
      <c r="F37" s="12" t="s">
        <v>177</v>
      </c>
      <c r="G37" s="12" t="s">
        <v>42</v>
      </c>
      <c r="H37" s="15">
        <v>1</v>
      </c>
      <c r="I37" s="5"/>
    </row>
    <row r="38" spans="1:9" ht="15" customHeight="1">
      <c r="A38" s="30">
        <v>41</v>
      </c>
      <c r="B38" s="7" t="s">
        <v>178</v>
      </c>
      <c r="C38" s="8">
        <v>541</v>
      </c>
      <c r="D38" s="8">
        <v>1772</v>
      </c>
      <c r="E38" s="8">
        <v>548</v>
      </c>
      <c r="F38" s="7" t="s">
        <v>179</v>
      </c>
      <c r="G38" s="7" t="s">
        <v>42</v>
      </c>
      <c r="H38" s="10">
        <v>1</v>
      </c>
      <c r="I38" s="5"/>
    </row>
    <row r="39" spans="1:9" ht="15" customHeight="1">
      <c r="A39" s="31">
        <v>42</v>
      </c>
      <c r="B39" s="12" t="s">
        <v>180</v>
      </c>
      <c r="C39" s="13">
        <v>598</v>
      </c>
      <c r="D39" s="13">
        <v>815</v>
      </c>
      <c r="E39" s="13">
        <v>550</v>
      </c>
      <c r="F39" s="12" t="s">
        <v>181</v>
      </c>
      <c r="G39" s="12" t="s">
        <v>42</v>
      </c>
      <c r="H39" s="15">
        <v>1</v>
      </c>
      <c r="I39" s="5"/>
    </row>
    <row r="40" spans="1:9" ht="15" customHeight="1">
      <c r="A40" s="30">
        <v>43</v>
      </c>
      <c r="B40" s="7" t="s">
        <v>182</v>
      </c>
      <c r="C40" s="8">
        <v>596</v>
      </c>
      <c r="D40" s="8">
        <v>818</v>
      </c>
      <c r="E40" s="8">
        <v>544</v>
      </c>
      <c r="F40" s="7" t="s">
        <v>183</v>
      </c>
      <c r="G40" s="7" t="s">
        <v>42</v>
      </c>
      <c r="H40" s="10">
        <v>1</v>
      </c>
      <c r="I40" s="5"/>
    </row>
    <row r="41" spans="1:9" ht="15" customHeight="1">
      <c r="A41" s="31">
        <v>44</v>
      </c>
      <c r="B41" s="12" t="s">
        <v>184</v>
      </c>
      <c r="C41" s="13">
        <v>598</v>
      </c>
      <c r="D41" s="13">
        <v>842</v>
      </c>
      <c r="E41" s="13">
        <v>613</v>
      </c>
      <c r="F41" s="12" t="s">
        <v>185</v>
      </c>
      <c r="G41" s="12" t="s">
        <v>42</v>
      </c>
      <c r="H41" s="15">
        <v>1</v>
      </c>
      <c r="I41" s="5"/>
    </row>
    <row r="42" spans="1:9" ht="15" customHeight="1">
      <c r="A42" s="30">
        <v>45</v>
      </c>
      <c r="B42" s="7" t="s">
        <v>186</v>
      </c>
      <c r="C42" s="8">
        <v>400</v>
      </c>
      <c r="D42" s="8">
        <v>450</v>
      </c>
      <c r="E42" s="8">
        <v>500</v>
      </c>
      <c r="F42" s="7" t="s">
        <v>187</v>
      </c>
      <c r="G42" s="7" t="s">
        <v>106</v>
      </c>
      <c r="H42" s="10">
        <v>1</v>
      </c>
      <c r="I42" s="5"/>
    </row>
    <row r="43" spans="1:9" ht="15" customHeight="1">
      <c r="A43" s="31">
        <v>46</v>
      </c>
      <c r="B43" s="12" t="s">
        <v>188</v>
      </c>
      <c r="C43" s="13">
        <v>500</v>
      </c>
      <c r="D43" s="13">
        <v>50</v>
      </c>
      <c r="E43" s="13">
        <v>450</v>
      </c>
      <c r="F43" s="12" t="s">
        <v>188</v>
      </c>
      <c r="G43" s="12" t="s">
        <v>106</v>
      </c>
      <c r="H43" s="15">
        <v>1</v>
      </c>
      <c r="I43" s="5"/>
    </row>
    <row r="44" spans="1:9" ht="13.5" customHeight="1">
      <c r="A44" s="16"/>
      <c r="B44" s="16"/>
      <c r="C44" s="16"/>
      <c r="D44" s="16"/>
      <c r="E44" s="16"/>
      <c r="F44" s="16"/>
      <c r="G44" s="16"/>
      <c r="H44" s="16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3.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3.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3.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3.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3.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3.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3.5" customHeight="1">
      <c r="A200" s="17"/>
      <c r="B200" s="17"/>
      <c r="C200" s="17"/>
      <c r="D200" s="17"/>
      <c r="E200" s="17"/>
      <c r="F200" s="17"/>
      <c r="G200" s="17"/>
      <c r="H200" s="17"/>
      <c r="I20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0"/>
  <sheetViews>
    <sheetView showGridLines="0" workbookViewId="0">
      <selection activeCell="G8" sqref="G8"/>
    </sheetView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96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4" t="s">
        <v>103</v>
      </c>
      <c r="I1" s="5"/>
    </row>
    <row r="2" spans="1:9" ht="15" customHeight="1">
      <c r="A2" s="30">
        <v>0</v>
      </c>
      <c r="B2" s="7" t="s">
        <v>189</v>
      </c>
      <c r="C2" s="8">
        <v>2100</v>
      </c>
      <c r="D2" s="8">
        <v>18</v>
      </c>
      <c r="E2" s="8">
        <v>600</v>
      </c>
      <c r="F2" s="7" t="s">
        <v>190</v>
      </c>
      <c r="G2" s="7" t="s">
        <v>6</v>
      </c>
      <c r="H2" s="10">
        <v>2</v>
      </c>
      <c r="I2" s="5"/>
    </row>
    <row r="3" spans="1:9" ht="15" customHeight="1">
      <c r="A3" s="31">
        <v>1</v>
      </c>
      <c r="B3" s="12" t="s">
        <v>191</v>
      </c>
      <c r="C3" s="13">
        <v>800</v>
      </c>
      <c r="D3" s="13">
        <v>18</v>
      </c>
      <c r="E3" s="13">
        <v>600</v>
      </c>
      <c r="F3" s="12" t="s">
        <v>192</v>
      </c>
      <c r="G3" s="12" t="s">
        <v>6</v>
      </c>
      <c r="H3" s="15">
        <v>1</v>
      </c>
      <c r="I3" s="5"/>
    </row>
    <row r="4" spans="1:9" ht="15" customHeight="1">
      <c r="A4" s="30">
        <v>2</v>
      </c>
      <c r="B4" s="7" t="s">
        <v>193</v>
      </c>
      <c r="C4" s="8">
        <v>800</v>
      </c>
      <c r="D4" s="8">
        <v>18</v>
      </c>
      <c r="E4" s="8">
        <v>600</v>
      </c>
      <c r="F4" s="7" t="s">
        <v>194</v>
      </c>
      <c r="G4" s="7" t="s">
        <v>6</v>
      </c>
      <c r="H4" s="10">
        <v>1</v>
      </c>
      <c r="I4" s="5"/>
    </row>
    <row r="5" spans="1:9" ht="15" customHeight="1">
      <c r="A5" s="31">
        <v>3</v>
      </c>
      <c r="B5" s="12" t="s">
        <v>195</v>
      </c>
      <c r="C5" s="13">
        <v>760</v>
      </c>
      <c r="D5" s="13">
        <v>18</v>
      </c>
      <c r="E5" s="13">
        <v>550</v>
      </c>
      <c r="F5" s="12" t="s">
        <v>196</v>
      </c>
      <c r="G5" s="12" t="s">
        <v>6</v>
      </c>
      <c r="H5" s="15">
        <v>3</v>
      </c>
      <c r="I5" s="5"/>
    </row>
    <row r="6" spans="1:9" ht="15" customHeight="1">
      <c r="A6" s="30">
        <v>4</v>
      </c>
      <c r="B6" s="7" t="s">
        <v>80</v>
      </c>
      <c r="C6" s="8">
        <v>2100</v>
      </c>
      <c r="D6" s="8">
        <v>400</v>
      </c>
      <c r="E6" s="8">
        <v>18</v>
      </c>
      <c r="F6" s="7" t="s">
        <v>197</v>
      </c>
      <c r="G6" s="7" t="s">
        <v>6</v>
      </c>
      <c r="H6" s="10">
        <v>2</v>
      </c>
      <c r="I6" s="5"/>
    </row>
    <row r="7" spans="1:9" ht="15" customHeight="1">
      <c r="A7" s="31">
        <v>5</v>
      </c>
      <c r="B7" s="12" t="s">
        <v>198</v>
      </c>
      <c r="C7" s="13">
        <v>2100</v>
      </c>
      <c r="D7" s="13">
        <v>18</v>
      </c>
      <c r="E7" s="13">
        <v>600</v>
      </c>
      <c r="F7" s="12" t="s">
        <v>199</v>
      </c>
      <c r="G7" s="12" t="s">
        <v>6</v>
      </c>
      <c r="H7" s="15">
        <v>1</v>
      </c>
      <c r="I7" s="5"/>
    </row>
    <row r="8" spans="1:9" ht="15" customHeight="1">
      <c r="A8" s="30">
        <v>6</v>
      </c>
      <c r="B8" s="7" t="s">
        <v>200</v>
      </c>
      <c r="C8" s="8">
        <v>760</v>
      </c>
      <c r="D8" s="8">
        <v>25</v>
      </c>
      <c r="E8" s="8">
        <v>25</v>
      </c>
      <c r="F8" s="7" t="s">
        <v>201</v>
      </c>
      <c r="G8" s="7" t="s">
        <v>202</v>
      </c>
      <c r="H8" s="10">
        <v>1</v>
      </c>
      <c r="I8" s="5"/>
    </row>
    <row r="9" spans="1:9" ht="15" customHeight="1">
      <c r="A9" s="31">
        <v>7</v>
      </c>
      <c r="B9" s="12" t="s">
        <v>133</v>
      </c>
      <c r="C9" s="13">
        <v>160</v>
      </c>
      <c r="D9" s="13">
        <v>20</v>
      </c>
      <c r="E9" s="13">
        <v>30</v>
      </c>
      <c r="F9" s="12" t="s">
        <v>203</v>
      </c>
      <c r="G9" s="12" t="s">
        <v>202</v>
      </c>
      <c r="H9" s="15">
        <v>2</v>
      </c>
      <c r="I9" s="5"/>
    </row>
    <row r="10" spans="1:9" ht="13.5" customHeight="1">
      <c r="A10" s="16"/>
      <c r="B10" s="16"/>
      <c r="C10" s="16"/>
      <c r="D10" s="16"/>
      <c r="E10" s="16"/>
      <c r="F10" s="16"/>
      <c r="G10" s="16"/>
      <c r="H10" s="16"/>
      <c r="I10" s="17"/>
    </row>
    <row r="11" spans="1:9" ht="13.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3.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5" customHeight="1">
      <c r="A13" s="17"/>
      <c r="B13" s="17"/>
      <c r="C13" s="17"/>
      <c r="D13" s="17"/>
      <c r="E13" s="17"/>
      <c r="F13" s="17"/>
      <c r="G13" s="17"/>
      <c r="H13" s="17"/>
      <c r="I13" s="17"/>
    </row>
    <row r="14" spans="1:9" ht="13.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3.5" customHeight="1">
      <c r="A15" s="17"/>
      <c r="B15" s="17"/>
      <c r="C15" s="17"/>
      <c r="D15" s="17"/>
      <c r="E15" s="17"/>
      <c r="F15" s="17"/>
      <c r="G15" s="17"/>
      <c r="H15" s="17"/>
      <c r="I15" s="17"/>
    </row>
    <row r="16" spans="1:9" ht="13.5" customHeight="1">
      <c r="A16" s="17"/>
      <c r="B16" s="17"/>
      <c r="C16" s="17"/>
      <c r="D16" s="17"/>
      <c r="E16" s="17"/>
      <c r="F16" s="17"/>
      <c r="G16" s="17"/>
      <c r="H16" s="17"/>
      <c r="I16" s="17"/>
    </row>
    <row r="17" spans="1:9" ht="13.5" customHeight="1">
      <c r="A17" s="17"/>
      <c r="B17" s="17"/>
      <c r="C17" s="17"/>
      <c r="D17" s="17"/>
      <c r="E17" s="17"/>
      <c r="F17" s="17"/>
      <c r="G17" s="17"/>
      <c r="H17" s="17"/>
      <c r="I17" s="17"/>
    </row>
    <row r="18" spans="1:9" ht="13.5" customHeight="1">
      <c r="A18" s="17"/>
      <c r="B18" s="17"/>
      <c r="C18" s="17"/>
      <c r="D18" s="17"/>
      <c r="E18" s="17"/>
      <c r="F18" s="17"/>
      <c r="G18" s="17"/>
      <c r="H18" s="17"/>
      <c r="I18" s="17"/>
    </row>
    <row r="19" spans="1:9" ht="13.5" customHeight="1">
      <c r="A19" s="17"/>
      <c r="B19" s="17"/>
      <c r="C19" s="17"/>
      <c r="D19" s="17"/>
      <c r="E19" s="17"/>
      <c r="F19" s="17"/>
      <c r="G19" s="17"/>
      <c r="H19" s="17"/>
      <c r="I19" s="17"/>
    </row>
    <row r="20" spans="1:9" ht="13.5" customHeight="1">
      <c r="A20" s="17"/>
      <c r="B20" s="17"/>
      <c r="C20" s="17"/>
      <c r="D20" s="17"/>
      <c r="E20" s="17"/>
      <c r="F20" s="17"/>
      <c r="G20" s="17"/>
      <c r="H20" s="17"/>
      <c r="I20" s="17"/>
    </row>
    <row r="21" spans="1:9" ht="13.5" customHeight="1">
      <c r="A21" s="17"/>
      <c r="B21" s="17"/>
      <c r="C21" s="17"/>
      <c r="D21" s="17"/>
      <c r="E21" s="17"/>
      <c r="F21" s="17"/>
      <c r="G21" s="17"/>
      <c r="H21" s="17"/>
      <c r="I21" s="17"/>
    </row>
    <row r="22" spans="1:9" ht="13.5" customHeight="1">
      <c r="A22" s="17"/>
      <c r="B22" s="17"/>
      <c r="C22" s="17"/>
      <c r="D22" s="17"/>
      <c r="E22" s="17"/>
      <c r="F22" s="17"/>
      <c r="G22" s="17"/>
      <c r="H22" s="17"/>
      <c r="I22" s="17"/>
    </row>
    <row r="23" spans="1:9" ht="13.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3.5" customHeight="1">
      <c r="A24" s="17"/>
      <c r="B24" s="17"/>
      <c r="C24" s="17"/>
      <c r="D24" s="17"/>
      <c r="E24" s="17"/>
      <c r="F24" s="17"/>
      <c r="G24" s="17"/>
      <c r="H24" s="17"/>
      <c r="I24" s="17"/>
    </row>
    <row r="25" spans="1:9" ht="13.5" customHeight="1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3.5" customHeight="1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3.5" customHeight="1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3.5" customHeight="1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3.5" customHeight="1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3.5" customHeight="1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3.5" customHeight="1">
      <c r="A31" s="17"/>
      <c r="B31" s="17"/>
      <c r="C31" s="17"/>
      <c r="D31" s="17"/>
      <c r="E31" s="17"/>
      <c r="F31" s="17"/>
      <c r="G31" s="17"/>
      <c r="H31" s="17"/>
      <c r="I31" s="17"/>
    </row>
    <row r="32" spans="1:9" ht="13.5" customHeight="1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3.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3.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3.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3.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3.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3.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13.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13.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spans="1:9" ht="13.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3.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spans="1:9" ht="13.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3.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3.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3.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3.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3.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3.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3.5" customHeight="1">
      <c r="A200" s="17"/>
      <c r="B200" s="17"/>
      <c r="C200" s="17"/>
      <c r="D200" s="17"/>
      <c r="E200" s="17"/>
      <c r="F200" s="17"/>
      <c r="G200" s="17"/>
      <c r="H200" s="17"/>
      <c r="I20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0"/>
  <sheetViews>
    <sheetView showGridLines="0" workbookViewId="0"/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96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4" t="s">
        <v>103</v>
      </c>
      <c r="I1" s="5"/>
    </row>
    <row r="2" spans="1:9" ht="15" customHeight="1">
      <c r="A2" s="30">
        <v>0</v>
      </c>
      <c r="B2" s="7" t="s">
        <v>189</v>
      </c>
      <c r="C2" s="8">
        <v>2100</v>
      </c>
      <c r="D2" s="8">
        <v>18</v>
      </c>
      <c r="E2" s="8">
        <v>600</v>
      </c>
      <c r="F2" s="7" t="s">
        <v>190</v>
      </c>
      <c r="G2" s="7" t="s">
        <v>6</v>
      </c>
      <c r="H2" s="10">
        <v>2</v>
      </c>
      <c r="I2" s="5"/>
    </row>
    <row r="3" spans="1:9" ht="15" customHeight="1">
      <c r="A3" s="31">
        <v>1</v>
      </c>
      <c r="B3" s="12" t="s">
        <v>191</v>
      </c>
      <c r="C3" s="13">
        <v>800</v>
      </c>
      <c r="D3" s="13">
        <v>18</v>
      </c>
      <c r="E3" s="13">
        <v>600</v>
      </c>
      <c r="F3" s="12" t="s">
        <v>192</v>
      </c>
      <c r="G3" s="12" t="s">
        <v>6</v>
      </c>
      <c r="H3" s="15">
        <v>1</v>
      </c>
      <c r="I3" s="5"/>
    </row>
    <row r="4" spans="1:9" ht="15" customHeight="1">
      <c r="A4" s="30">
        <v>2</v>
      </c>
      <c r="B4" s="7" t="s">
        <v>193</v>
      </c>
      <c r="C4" s="8">
        <v>800</v>
      </c>
      <c r="D4" s="8">
        <v>18</v>
      </c>
      <c r="E4" s="8">
        <v>600</v>
      </c>
      <c r="F4" s="7" t="s">
        <v>194</v>
      </c>
      <c r="G4" s="7" t="s">
        <v>6</v>
      </c>
      <c r="H4" s="10">
        <v>1</v>
      </c>
      <c r="I4" s="5"/>
    </row>
    <row r="5" spans="1:9" ht="15" customHeight="1">
      <c r="A5" s="31">
        <v>3</v>
      </c>
      <c r="B5" s="12" t="s">
        <v>195</v>
      </c>
      <c r="C5" s="13">
        <v>760</v>
      </c>
      <c r="D5" s="13">
        <v>18</v>
      </c>
      <c r="E5" s="13">
        <v>550</v>
      </c>
      <c r="F5" s="12" t="s">
        <v>196</v>
      </c>
      <c r="G5" s="12" t="s">
        <v>6</v>
      </c>
      <c r="H5" s="15">
        <v>3</v>
      </c>
      <c r="I5" s="5"/>
    </row>
    <row r="6" spans="1:9" ht="15" customHeight="1">
      <c r="A6" s="30">
        <v>4</v>
      </c>
      <c r="B6" s="7" t="s">
        <v>80</v>
      </c>
      <c r="C6" s="8">
        <v>2100</v>
      </c>
      <c r="D6" s="8">
        <v>400</v>
      </c>
      <c r="E6" s="8">
        <v>18</v>
      </c>
      <c r="F6" s="7" t="s">
        <v>197</v>
      </c>
      <c r="G6" s="7" t="s">
        <v>6</v>
      </c>
      <c r="H6" s="10">
        <v>2</v>
      </c>
      <c r="I6" s="5"/>
    </row>
    <row r="7" spans="1:9" ht="15" customHeight="1">
      <c r="A7" s="31">
        <v>5</v>
      </c>
      <c r="B7" s="12" t="s">
        <v>198</v>
      </c>
      <c r="C7" s="13">
        <v>2100</v>
      </c>
      <c r="D7" s="13">
        <v>18</v>
      </c>
      <c r="E7" s="13">
        <v>600</v>
      </c>
      <c r="F7" s="12" t="s">
        <v>199</v>
      </c>
      <c r="G7" s="12" t="s">
        <v>6</v>
      </c>
      <c r="H7" s="15">
        <v>1</v>
      </c>
      <c r="I7" s="5"/>
    </row>
    <row r="8" spans="1:9" ht="15" customHeight="1">
      <c r="A8" s="30">
        <v>6</v>
      </c>
      <c r="B8" s="7" t="s">
        <v>200</v>
      </c>
      <c r="C8" s="8">
        <v>760</v>
      </c>
      <c r="D8" s="8">
        <v>25</v>
      </c>
      <c r="E8" s="8">
        <v>25</v>
      </c>
      <c r="F8" s="7" t="s">
        <v>201</v>
      </c>
      <c r="G8" s="7" t="s">
        <v>202</v>
      </c>
      <c r="H8" s="10">
        <v>1</v>
      </c>
      <c r="I8" s="5"/>
    </row>
    <row r="9" spans="1:9" ht="15" customHeight="1">
      <c r="A9" s="31">
        <v>7</v>
      </c>
      <c r="B9" s="12" t="s">
        <v>133</v>
      </c>
      <c r="C9" s="13">
        <v>160</v>
      </c>
      <c r="D9" s="13">
        <v>20</v>
      </c>
      <c r="E9" s="13">
        <v>30</v>
      </c>
      <c r="F9" s="12" t="s">
        <v>203</v>
      </c>
      <c r="G9" s="12" t="s">
        <v>202</v>
      </c>
      <c r="H9" s="15">
        <v>2</v>
      </c>
      <c r="I9" s="5"/>
    </row>
    <row r="10" spans="1:9" ht="13.5" customHeight="1">
      <c r="A10" s="16"/>
      <c r="B10" s="16"/>
      <c r="C10" s="16"/>
      <c r="D10" s="16"/>
      <c r="E10" s="16"/>
      <c r="F10" s="16"/>
      <c r="G10" s="16"/>
      <c r="H10" s="16"/>
      <c r="I10" s="17"/>
    </row>
    <row r="11" spans="1:9" ht="13.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3.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5" customHeight="1">
      <c r="A13" s="17"/>
      <c r="B13" s="17"/>
      <c r="C13" s="17"/>
      <c r="D13" s="17"/>
      <c r="E13" s="17"/>
      <c r="F13" s="17"/>
      <c r="G13" s="17"/>
      <c r="H13" s="17"/>
      <c r="I13" s="17"/>
    </row>
    <row r="14" spans="1:9" ht="13.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3.5" customHeight="1">
      <c r="A15" s="17"/>
      <c r="B15" s="17"/>
      <c r="C15" s="17"/>
      <c r="D15" s="17"/>
      <c r="E15" s="17"/>
      <c r="F15" s="17"/>
      <c r="G15" s="17"/>
      <c r="H15" s="17"/>
      <c r="I15" s="17"/>
    </row>
    <row r="16" spans="1:9" ht="13.5" customHeight="1">
      <c r="A16" s="17"/>
      <c r="B16" s="17"/>
      <c r="C16" s="17"/>
      <c r="D16" s="17"/>
      <c r="E16" s="17"/>
      <c r="F16" s="17"/>
      <c r="G16" s="17"/>
      <c r="H16" s="17"/>
      <c r="I16" s="17"/>
    </row>
    <row r="17" spans="1:9" ht="13.5" customHeight="1">
      <c r="A17" s="17"/>
      <c r="B17" s="17"/>
      <c r="C17" s="17"/>
      <c r="D17" s="17"/>
      <c r="E17" s="17"/>
      <c r="F17" s="17"/>
      <c r="G17" s="17"/>
      <c r="H17" s="17"/>
      <c r="I17" s="17"/>
    </row>
    <row r="18" spans="1:9" ht="13.5" customHeight="1">
      <c r="A18" s="17"/>
      <c r="B18" s="17"/>
      <c r="C18" s="17"/>
      <c r="D18" s="17"/>
      <c r="E18" s="17"/>
      <c r="F18" s="17"/>
      <c r="G18" s="17"/>
      <c r="H18" s="17"/>
      <c r="I18" s="17"/>
    </row>
    <row r="19" spans="1:9" ht="13.5" customHeight="1">
      <c r="A19" s="17"/>
      <c r="B19" s="17"/>
      <c r="C19" s="17"/>
      <c r="D19" s="17"/>
      <c r="E19" s="17"/>
      <c r="F19" s="17"/>
      <c r="G19" s="17"/>
      <c r="H19" s="17"/>
      <c r="I19" s="17"/>
    </row>
    <row r="20" spans="1:9" ht="13.5" customHeight="1">
      <c r="A20" s="17"/>
      <c r="B20" s="17"/>
      <c r="C20" s="17"/>
      <c r="D20" s="17"/>
      <c r="E20" s="17"/>
      <c r="F20" s="17"/>
      <c r="G20" s="17"/>
      <c r="H20" s="17"/>
      <c r="I20" s="17"/>
    </row>
    <row r="21" spans="1:9" ht="13.5" customHeight="1">
      <c r="A21" s="17"/>
      <c r="B21" s="17"/>
      <c r="C21" s="17"/>
      <c r="D21" s="17"/>
      <c r="E21" s="17"/>
      <c r="F21" s="17"/>
      <c r="G21" s="17"/>
      <c r="H21" s="17"/>
      <c r="I21" s="17"/>
    </row>
    <row r="22" spans="1:9" ht="13.5" customHeight="1">
      <c r="A22" s="17"/>
      <c r="B22" s="17"/>
      <c r="C22" s="17"/>
      <c r="D22" s="17"/>
      <c r="E22" s="17"/>
      <c r="F22" s="17"/>
      <c r="G22" s="17"/>
      <c r="H22" s="17"/>
      <c r="I22" s="17"/>
    </row>
    <row r="23" spans="1:9" ht="13.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3.5" customHeight="1">
      <c r="A24" s="17"/>
      <c r="B24" s="17"/>
      <c r="C24" s="17"/>
      <c r="D24" s="17"/>
      <c r="E24" s="17"/>
      <c r="F24" s="17"/>
      <c r="G24" s="17"/>
      <c r="H24" s="17"/>
      <c r="I24" s="17"/>
    </row>
    <row r="25" spans="1:9" ht="13.5" customHeight="1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3.5" customHeight="1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3.5" customHeight="1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3.5" customHeight="1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3.5" customHeight="1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3.5" customHeight="1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3.5" customHeight="1">
      <c r="A31" s="17"/>
      <c r="B31" s="17"/>
      <c r="C31" s="17"/>
      <c r="D31" s="17"/>
      <c r="E31" s="17"/>
      <c r="F31" s="17"/>
      <c r="G31" s="17"/>
      <c r="H31" s="17"/>
      <c r="I31" s="17"/>
    </row>
    <row r="32" spans="1:9" ht="13.5" customHeight="1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3.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3.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3.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3.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3.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3.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13.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13.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spans="1:9" ht="13.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3.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spans="1:9" ht="13.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3.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3.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3.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3.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3.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3.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3.5" customHeight="1">
      <c r="A200" s="17"/>
      <c r="B200" s="17"/>
      <c r="C200" s="17"/>
      <c r="D200" s="17"/>
      <c r="E200" s="17"/>
      <c r="F200" s="17"/>
      <c r="G200" s="17"/>
      <c r="H200" s="17"/>
      <c r="I20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00"/>
  <sheetViews>
    <sheetView showGridLines="0" workbookViewId="0"/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96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4" t="s">
        <v>103</v>
      </c>
      <c r="I1" s="5"/>
    </row>
    <row r="2" spans="1:9" ht="15" customHeight="1">
      <c r="A2" s="30">
        <v>0</v>
      </c>
      <c r="B2" s="7" t="s">
        <v>189</v>
      </c>
      <c r="C2" s="8">
        <v>2100</v>
      </c>
      <c r="D2" s="8">
        <v>18</v>
      </c>
      <c r="E2" s="8">
        <v>600</v>
      </c>
      <c r="F2" s="7" t="s">
        <v>190</v>
      </c>
      <c r="G2" s="7" t="s">
        <v>6</v>
      </c>
      <c r="H2" s="10">
        <v>2</v>
      </c>
      <c r="I2" s="5"/>
    </row>
    <row r="3" spans="1:9" ht="15" customHeight="1">
      <c r="A3" s="31">
        <v>1</v>
      </c>
      <c r="B3" s="12" t="s">
        <v>191</v>
      </c>
      <c r="C3" s="13">
        <v>1000</v>
      </c>
      <c r="D3" s="13">
        <v>18</v>
      </c>
      <c r="E3" s="13">
        <v>600</v>
      </c>
      <c r="F3" s="12" t="s">
        <v>192</v>
      </c>
      <c r="G3" s="12" t="s">
        <v>6</v>
      </c>
      <c r="H3" s="15">
        <v>1</v>
      </c>
      <c r="I3" s="5"/>
    </row>
    <row r="4" spans="1:9" ht="15" customHeight="1">
      <c r="A4" s="30">
        <v>2</v>
      </c>
      <c r="B4" s="7" t="s">
        <v>193</v>
      </c>
      <c r="C4" s="8">
        <v>1000</v>
      </c>
      <c r="D4" s="8">
        <v>18</v>
      </c>
      <c r="E4" s="8">
        <v>600</v>
      </c>
      <c r="F4" s="7" t="s">
        <v>194</v>
      </c>
      <c r="G4" s="7" t="s">
        <v>6</v>
      </c>
      <c r="H4" s="10">
        <v>1</v>
      </c>
      <c r="I4" s="5"/>
    </row>
    <row r="5" spans="1:9" ht="15" customHeight="1">
      <c r="A5" s="31">
        <v>3</v>
      </c>
      <c r="B5" s="12" t="s">
        <v>195</v>
      </c>
      <c r="C5" s="13">
        <v>960</v>
      </c>
      <c r="D5" s="13">
        <v>18</v>
      </c>
      <c r="E5" s="13">
        <v>550</v>
      </c>
      <c r="F5" s="12" t="s">
        <v>196</v>
      </c>
      <c r="G5" s="12" t="s">
        <v>6</v>
      </c>
      <c r="H5" s="15">
        <v>4</v>
      </c>
      <c r="I5" s="5"/>
    </row>
    <row r="6" spans="1:9" ht="15" customHeight="1">
      <c r="A6" s="30">
        <v>4</v>
      </c>
      <c r="B6" s="7" t="s">
        <v>80</v>
      </c>
      <c r="C6" s="8">
        <v>2100</v>
      </c>
      <c r="D6" s="8">
        <v>500</v>
      </c>
      <c r="E6" s="8">
        <v>18</v>
      </c>
      <c r="F6" s="7" t="s">
        <v>197</v>
      </c>
      <c r="G6" s="7" t="s">
        <v>6</v>
      </c>
      <c r="H6" s="10">
        <v>2</v>
      </c>
      <c r="I6" s="5"/>
    </row>
    <row r="7" spans="1:9" ht="15" customHeight="1">
      <c r="A7" s="31">
        <v>5</v>
      </c>
      <c r="B7" s="12" t="s">
        <v>198</v>
      </c>
      <c r="C7" s="13">
        <v>2100</v>
      </c>
      <c r="D7" s="13">
        <v>18</v>
      </c>
      <c r="E7" s="13">
        <v>600</v>
      </c>
      <c r="F7" s="12" t="s">
        <v>199</v>
      </c>
      <c r="G7" s="12" t="s">
        <v>6</v>
      </c>
      <c r="H7" s="15">
        <v>1</v>
      </c>
      <c r="I7" s="5"/>
    </row>
    <row r="8" spans="1:9" ht="15" customHeight="1">
      <c r="A8" s="30">
        <v>6</v>
      </c>
      <c r="B8" s="7" t="s">
        <v>200</v>
      </c>
      <c r="C8" s="8">
        <v>960</v>
      </c>
      <c r="D8" s="8">
        <v>25</v>
      </c>
      <c r="E8" s="8">
        <v>25</v>
      </c>
      <c r="F8" s="7" t="s">
        <v>201</v>
      </c>
      <c r="G8" s="7" t="s">
        <v>202</v>
      </c>
      <c r="H8" s="10">
        <v>1</v>
      </c>
      <c r="I8" s="5"/>
    </row>
    <row r="9" spans="1:9" ht="15" customHeight="1">
      <c r="A9" s="31">
        <v>7</v>
      </c>
      <c r="B9" s="12" t="s">
        <v>133</v>
      </c>
      <c r="C9" s="13">
        <v>160</v>
      </c>
      <c r="D9" s="13">
        <v>20</v>
      </c>
      <c r="E9" s="13">
        <v>30</v>
      </c>
      <c r="F9" s="12" t="s">
        <v>203</v>
      </c>
      <c r="G9" s="12" t="s">
        <v>202</v>
      </c>
      <c r="H9" s="15">
        <v>2</v>
      </c>
      <c r="I9" s="5"/>
    </row>
    <row r="10" spans="1:9" ht="13.5" customHeight="1">
      <c r="A10" s="16"/>
      <c r="B10" s="16"/>
      <c r="C10" s="16"/>
      <c r="D10" s="16"/>
      <c r="E10" s="16"/>
      <c r="F10" s="16"/>
      <c r="G10" s="16"/>
      <c r="H10" s="16"/>
      <c r="I10" s="17"/>
    </row>
    <row r="11" spans="1:9" ht="13.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3.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5" customHeight="1">
      <c r="A13" s="17"/>
      <c r="B13" s="17"/>
      <c r="C13" s="17"/>
      <c r="D13" s="17"/>
      <c r="E13" s="17"/>
      <c r="F13" s="17"/>
      <c r="G13" s="17"/>
      <c r="H13" s="17"/>
      <c r="I13" s="17"/>
    </row>
    <row r="14" spans="1:9" ht="13.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3.5" customHeight="1">
      <c r="A15" s="17"/>
      <c r="B15" s="17"/>
      <c r="C15" s="17"/>
      <c r="D15" s="17"/>
      <c r="E15" s="17"/>
      <c r="F15" s="17"/>
      <c r="G15" s="17"/>
      <c r="H15" s="17"/>
      <c r="I15" s="17"/>
    </row>
    <row r="16" spans="1:9" ht="13.5" customHeight="1">
      <c r="A16" s="17"/>
      <c r="B16" s="17"/>
      <c r="C16" s="17"/>
      <c r="D16" s="17"/>
      <c r="E16" s="17"/>
      <c r="F16" s="17"/>
      <c r="G16" s="17"/>
      <c r="H16" s="17"/>
      <c r="I16" s="17"/>
    </row>
    <row r="17" spans="1:9" ht="13.5" customHeight="1">
      <c r="A17" s="17"/>
      <c r="B17" s="17"/>
      <c r="C17" s="17"/>
      <c r="D17" s="17"/>
      <c r="E17" s="17"/>
      <c r="F17" s="17"/>
      <c r="G17" s="17"/>
      <c r="H17" s="17"/>
      <c r="I17" s="17"/>
    </row>
    <row r="18" spans="1:9" ht="13.5" customHeight="1">
      <c r="A18" s="17"/>
      <c r="B18" s="17"/>
      <c r="C18" s="17"/>
      <c r="D18" s="17"/>
      <c r="E18" s="17"/>
      <c r="F18" s="17"/>
      <c r="G18" s="17"/>
      <c r="H18" s="17"/>
      <c r="I18" s="17"/>
    </row>
    <row r="19" spans="1:9" ht="13.5" customHeight="1">
      <c r="A19" s="17"/>
      <c r="B19" s="17"/>
      <c r="C19" s="17"/>
      <c r="D19" s="17"/>
      <c r="E19" s="17"/>
      <c r="F19" s="17"/>
      <c r="G19" s="17"/>
      <c r="H19" s="17"/>
      <c r="I19" s="17"/>
    </row>
    <row r="20" spans="1:9" ht="13.5" customHeight="1">
      <c r="A20" s="17"/>
      <c r="B20" s="17"/>
      <c r="C20" s="17"/>
      <c r="D20" s="17"/>
      <c r="E20" s="17"/>
      <c r="F20" s="17"/>
      <c r="G20" s="17"/>
      <c r="H20" s="17"/>
      <c r="I20" s="17"/>
    </row>
    <row r="21" spans="1:9" ht="13.5" customHeight="1">
      <c r="A21" s="17"/>
      <c r="B21" s="17"/>
      <c r="C21" s="17"/>
      <c r="D21" s="17"/>
      <c r="E21" s="17"/>
      <c r="F21" s="17"/>
      <c r="G21" s="17"/>
      <c r="H21" s="17"/>
      <c r="I21" s="17"/>
    </row>
    <row r="22" spans="1:9" ht="13.5" customHeight="1">
      <c r="A22" s="17"/>
      <c r="B22" s="17"/>
      <c r="C22" s="17"/>
      <c r="D22" s="17"/>
      <c r="E22" s="17"/>
      <c r="F22" s="17"/>
      <c r="G22" s="17"/>
      <c r="H22" s="17"/>
      <c r="I22" s="17"/>
    </row>
    <row r="23" spans="1:9" ht="13.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3.5" customHeight="1">
      <c r="A24" s="17"/>
      <c r="B24" s="17"/>
      <c r="C24" s="17"/>
      <c r="D24" s="17"/>
      <c r="E24" s="17"/>
      <c r="F24" s="17"/>
      <c r="G24" s="17"/>
      <c r="H24" s="17"/>
      <c r="I24" s="17"/>
    </row>
    <row r="25" spans="1:9" ht="13.5" customHeight="1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3.5" customHeight="1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3.5" customHeight="1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3.5" customHeight="1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3.5" customHeight="1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3.5" customHeight="1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3.5" customHeight="1">
      <c r="A31" s="17"/>
      <c r="B31" s="17"/>
      <c r="C31" s="17"/>
      <c r="D31" s="17"/>
      <c r="E31" s="17"/>
      <c r="F31" s="17"/>
      <c r="G31" s="17"/>
      <c r="H31" s="17"/>
      <c r="I31" s="17"/>
    </row>
    <row r="32" spans="1:9" ht="13.5" customHeight="1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3.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3.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3.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3.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3.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3.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13.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13.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spans="1:9" ht="13.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3.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spans="1:9" ht="13.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3.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3.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3.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3.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3.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3.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3.5" customHeight="1">
      <c r="A200" s="17"/>
      <c r="B200" s="17"/>
      <c r="C200" s="17"/>
      <c r="D200" s="17"/>
      <c r="E200" s="17"/>
      <c r="F200" s="17"/>
      <c r="G200" s="17"/>
      <c r="H200" s="17"/>
      <c r="I20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00"/>
  <sheetViews>
    <sheetView showGridLines="0" workbookViewId="0"/>
  </sheetViews>
  <sheetFormatPr defaultColWidth="8.875" defaultRowHeight="15" customHeight="1"/>
  <cols>
    <col min="1" max="1" width="12" style="1" customWidth="1"/>
    <col min="2" max="2" width="38" style="1" customWidth="1"/>
    <col min="3" max="5" width="12" style="1" customWidth="1"/>
    <col min="6" max="6" width="48" style="1" customWidth="1"/>
    <col min="7" max="7" width="22" style="1" customWidth="1"/>
    <col min="8" max="8" width="10" style="1" customWidth="1"/>
    <col min="9" max="10" width="8.875" style="1" customWidth="1"/>
    <col min="11" max="16384" width="8.875" style="1"/>
  </cols>
  <sheetData>
    <row r="1" spans="1:9" ht="15" customHeight="1">
      <c r="A1" s="2" t="s">
        <v>96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4" t="s">
        <v>103</v>
      </c>
      <c r="I1" s="5"/>
    </row>
    <row r="2" spans="1:9" ht="15" customHeight="1">
      <c r="A2" s="30">
        <v>0</v>
      </c>
      <c r="B2" s="7" t="s">
        <v>189</v>
      </c>
      <c r="C2" s="8">
        <v>2100</v>
      </c>
      <c r="D2" s="8">
        <v>18</v>
      </c>
      <c r="E2" s="8">
        <v>600</v>
      </c>
      <c r="F2" s="7" t="s">
        <v>190</v>
      </c>
      <c r="G2" s="7" t="s">
        <v>6</v>
      </c>
      <c r="H2" s="10">
        <v>2</v>
      </c>
      <c r="I2" s="5"/>
    </row>
    <row r="3" spans="1:9" ht="15" customHeight="1">
      <c r="A3" s="31">
        <v>1</v>
      </c>
      <c r="B3" s="12" t="s">
        <v>191</v>
      </c>
      <c r="C3" s="13">
        <v>1200</v>
      </c>
      <c r="D3" s="13">
        <v>18</v>
      </c>
      <c r="E3" s="13">
        <v>600</v>
      </c>
      <c r="F3" s="12" t="s">
        <v>192</v>
      </c>
      <c r="G3" s="12" t="s">
        <v>6</v>
      </c>
      <c r="H3" s="15">
        <v>1</v>
      </c>
      <c r="I3" s="5"/>
    </row>
    <row r="4" spans="1:9" ht="15" customHeight="1">
      <c r="A4" s="30">
        <v>2</v>
      </c>
      <c r="B4" s="7" t="s">
        <v>193</v>
      </c>
      <c r="C4" s="8">
        <v>1200</v>
      </c>
      <c r="D4" s="8">
        <v>18</v>
      </c>
      <c r="E4" s="8">
        <v>600</v>
      </c>
      <c r="F4" s="7" t="s">
        <v>194</v>
      </c>
      <c r="G4" s="7" t="s">
        <v>6</v>
      </c>
      <c r="H4" s="10">
        <v>1</v>
      </c>
      <c r="I4" s="5"/>
    </row>
    <row r="5" spans="1:9" ht="15" customHeight="1">
      <c r="A5" s="31">
        <v>3</v>
      </c>
      <c r="B5" s="12" t="s">
        <v>195</v>
      </c>
      <c r="C5" s="13">
        <v>1160</v>
      </c>
      <c r="D5" s="13">
        <v>18</v>
      </c>
      <c r="E5" s="13">
        <v>550</v>
      </c>
      <c r="F5" s="12" t="s">
        <v>196</v>
      </c>
      <c r="G5" s="12" t="s">
        <v>6</v>
      </c>
      <c r="H5" s="15">
        <v>5</v>
      </c>
      <c r="I5" s="5"/>
    </row>
    <row r="6" spans="1:9" ht="15" customHeight="1">
      <c r="A6" s="30">
        <v>4</v>
      </c>
      <c r="B6" s="7" t="s">
        <v>80</v>
      </c>
      <c r="C6" s="8">
        <v>2100</v>
      </c>
      <c r="D6" s="8">
        <v>400</v>
      </c>
      <c r="E6" s="8">
        <v>18</v>
      </c>
      <c r="F6" s="7" t="s">
        <v>197</v>
      </c>
      <c r="G6" s="7" t="s">
        <v>6</v>
      </c>
      <c r="H6" s="10">
        <v>3</v>
      </c>
      <c r="I6" s="5"/>
    </row>
    <row r="7" spans="1:9" ht="15" customHeight="1">
      <c r="A7" s="31">
        <v>5</v>
      </c>
      <c r="B7" s="12" t="s">
        <v>198</v>
      </c>
      <c r="C7" s="13">
        <v>2100</v>
      </c>
      <c r="D7" s="13">
        <v>18</v>
      </c>
      <c r="E7" s="13">
        <v>600</v>
      </c>
      <c r="F7" s="12" t="s">
        <v>199</v>
      </c>
      <c r="G7" s="12" t="s">
        <v>6</v>
      </c>
      <c r="H7" s="15">
        <v>1</v>
      </c>
      <c r="I7" s="5"/>
    </row>
    <row r="8" spans="1:9" ht="15" customHeight="1">
      <c r="A8" s="30">
        <v>6</v>
      </c>
      <c r="B8" s="7" t="s">
        <v>200</v>
      </c>
      <c r="C8" s="8">
        <v>1160</v>
      </c>
      <c r="D8" s="8">
        <v>25</v>
      </c>
      <c r="E8" s="8">
        <v>25</v>
      </c>
      <c r="F8" s="7" t="s">
        <v>201</v>
      </c>
      <c r="G8" s="7" t="s">
        <v>202</v>
      </c>
      <c r="H8" s="10">
        <v>1</v>
      </c>
      <c r="I8" s="5"/>
    </row>
    <row r="9" spans="1:9" ht="15" customHeight="1">
      <c r="A9" s="31">
        <v>7</v>
      </c>
      <c r="B9" s="12" t="s">
        <v>133</v>
      </c>
      <c r="C9" s="13">
        <v>160</v>
      </c>
      <c r="D9" s="13">
        <v>20</v>
      </c>
      <c r="E9" s="13">
        <v>30</v>
      </c>
      <c r="F9" s="12" t="s">
        <v>203</v>
      </c>
      <c r="G9" s="12" t="s">
        <v>202</v>
      </c>
      <c r="H9" s="15">
        <v>3</v>
      </c>
      <c r="I9" s="5"/>
    </row>
    <row r="10" spans="1:9" ht="13.5" customHeight="1">
      <c r="A10" s="16"/>
      <c r="B10" s="16"/>
      <c r="C10" s="16"/>
      <c r="D10" s="16"/>
      <c r="E10" s="16"/>
      <c r="F10" s="16"/>
      <c r="G10" s="16"/>
      <c r="H10" s="16"/>
      <c r="I10" s="17"/>
    </row>
    <row r="11" spans="1:9" ht="13.5" customHeight="1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13.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13.5" customHeight="1">
      <c r="A13" s="17"/>
      <c r="B13" s="17"/>
      <c r="C13" s="17"/>
      <c r="D13" s="17"/>
      <c r="E13" s="17"/>
      <c r="F13" s="17"/>
      <c r="G13" s="17"/>
      <c r="H13" s="17"/>
      <c r="I13" s="17"/>
    </row>
    <row r="14" spans="1:9" ht="13.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3.5" customHeight="1">
      <c r="A15" s="17"/>
      <c r="B15" s="17"/>
      <c r="C15" s="17"/>
      <c r="D15" s="17"/>
      <c r="E15" s="17"/>
      <c r="F15" s="17"/>
      <c r="G15" s="17"/>
      <c r="H15" s="17"/>
      <c r="I15" s="17"/>
    </row>
    <row r="16" spans="1:9" ht="13.5" customHeight="1">
      <c r="A16" s="17"/>
      <c r="B16" s="17"/>
      <c r="C16" s="17"/>
      <c r="D16" s="17"/>
      <c r="E16" s="17"/>
      <c r="F16" s="17"/>
      <c r="G16" s="17"/>
      <c r="H16" s="17"/>
      <c r="I16" s="17"/>
    </row>
    <row r="17" spans="1:9" ht="13.5" customHeight="1">
      <c r="A17" s="17"/>
      <c r="B17" s="17"/>
      <c r="C17" s="17"/>
      <c r="D17" s="17"/>
      <c r="E17" s="17"/>
      <c r="F17" s="17"/>
      <c r="G17" s="17"/>
      <c r="H17" s="17"/>
      <c r="I17" s="17"/>
    </row>
    <row r="18" spans="1:9" ht="13.5" customHeight="1">
      <c r="A18" s="17"/>
      <c r="B18" s="17"/>
      <c r="C18" s="17"/>
      <c r="D18" s="17"/>
      <c r="E18" s="17"/>
      <c r="F18" s="17"/>
      <c r="G18" s="17"/>
      <c r="H18" s="17"/>
      <c r="I18" s="17"/>
    </row>
    <row r="19" spans="1:9" ht="13.5" customHeight="1">
      <c r="A19" s="17"/>
      <c r="B19" s="17"/>
      <c r="C19" s="17"/>
      <c r="D19" s="17"/>
      <c r="E19" s="17"/>
      <c r="F19" s="17"/>
      <c r="G19" s="17"/>
      <c r="H19" s="17"/>
      <c r="I19" s="17"/>
    </row>
    <row r="20" spans="1:9" ht="13.5" customHeight="1">
      <c r="A20" s="17"/>
      <c r="B20" s="17"/>
      <c r="C20" s="17"/>
      <c r="D20" s="17"/>
      <c r="E20" s="17"/>
      <c r="F20" s="17"/>
      <c r="G20" s="17"/>
      <c r="H20" s="17"/>
      <c r="I20" s="17"/>
    </row>
    <row r="21" spans="1:9" ht="13.5" customHeight="1">
      <c r="A21" s="17"/>
      <c r="B21" s="17"/>
      <c r="C21" s="17"/>
      <c r="D21" s="17"/>
      <c r="E21" s="17"/>
      <c r="F21" s="17"/>
      <c r="G21" s="17"/>
      <c r="H21" s="17"/>
      <c r="I21" s="17"/>
    </row>
    <row r="22" spans="1:9" ht="13.5" customHeight="1">
      <c r="A22" s="17"/>
      <c r="B22" s="17"/>
      <c r="C22" s="17"/>
      <c r="D22" s="17"/>
      <c r="E22" s="17"/>
      <c r="F22" s="17"/>
      <c r="G22" s="17"/>
      <c r="H22" s="17"/>
      <c r="I22" s="17"/>
    </row>
    <row r="23" spans="1:9" ht="13.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3.5" customHeight="1">
      <c r="A24" s="17"/>
      <c r="B24" s="17"/>
      <c r="C24" s="17"/>
      <c r="D24" s="17"/>
      <c r="E24" s="17"/>
      <c r="F24" s="17"/>
      <c r="G24" s="17"/>
      <c r="H24" s="17"/>
      <c r="I24" s="17"/>
    </row>
    <row r="25" spans="1:9" ht="13.5" customHeight="1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3.5" customHeight="1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3.5" customHeight="1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3.5" customHeight="1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3.5" customHeight="1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3.5" customHeight="1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3.5" customHeight="1">
      <c r="A31" s="17"/>
      <c r="B31" s="17"/>
      <c r="C31" s="17"/>
      <c r="D31" s="17"/>
      <c r="E31" s="17"/>
      <c r="F31" s="17"/>
      <c r="G31" s="17"/>
      <c r="H31" s="17"/>
      <c r="I31" s="17"/>
    </row>
    <row r="32" spans="1:9" ht="13.5" customHeight="1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13.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3.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3.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3.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3.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spans="1:9" ht="13.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3.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spans="1:9" ht="13.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13.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spans="1:9" ht="13.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3.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spans="1:9" ht="13.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spans="1:9" ht="13.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spans="1:9" ht="13.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spans="1:9" ht="13.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spans="1:9" ht="13.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3.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3.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3.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3.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3.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3.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3.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3.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3.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3.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3.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3.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3.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3.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3.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3.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3.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3.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3.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3.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3.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3.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3.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3.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3.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3.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3.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3.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3.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3.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3.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3.5" customHeight="1">
      <c r="A200" s="17"/>
      <c r="B200" s="17"/>
      <c r="C200" s="17"/>
      <c r="D200" s="17"/>
      <c r="E200" s="17"/>
      <c r="F200" s="17"/>
      <c r="G200" s="17"/>
      <c r="H200" s="17"/>
      <c r="I20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showGridLines="0" workbookViewId="0"/>
  </sheetViews>
  <sheetFormatPr defaultColWidth="8.875" defaultRowHeight="15" customHeight="1"/>
  <cols>
    <col min="1" max="1" width="10" style="1" customWidth="1"/>
    <col min="2" max="2" width="20" style="1" customWidth="1"/>
    <col min="3" max="4" width="24" style="1" customWidth="1"/>
    <col min="5" max="5" width="12" style="1" customWidth="1"/>
    <col min="6" max="10" width="16" style="1" customWidth="1"/>
    <col min="11" max="11" width="56" style="1" customWidth="1"/>
    <col min="12" max="13" width="8.875" style="1" customWidth="1"/>
    <col min="14" max="16384" width="8.875" style="1"/>
  </cols>
  <sheetData>
    <row r="1" spans="1:12" ht="15" customHeight="1">
      <c r="A1" s="2" t="s">
        <v>4</v>
      </c>
      <c r="B1" s="3" t="s">
        <v>204</v>
      </c>
      <c r="C1" s="3" t="s">
        <v>205</v>
      </c>
      <c r="D1" s="3" t="s">
        <v>206</v>
      </c>
      <c r="E1" s="3" t="s">
        <v>207</v>
      </c>
      <c r="F1" s="3" t="s">
        <v>208</v>
      </c>
      <c r="G1" s="3" t="s">
        <v>209</v>
      </c>
      <c r="H1" s="3" t="s">
        <v>210</v>
      </c>
      <c r="I1" s="3" t="s">
        <v>211</v>
      </c>
      <c r="J1" s="3" t="s">
        <v>212</v>
      </c>
      <c r="K1" s="4" t="s">
        <v>213</v>
      </c>
      <c r="L1" s="5"/>
    </row>
    <row r="2" spans="1:12" ht="15" customHeight="1">
      <c r="A2" s="6" t="s">
        <v>14</v>
      </c>
      <c r="B2" s="7" t="s">
        <v>214</v>
      </c>
      <c r="C2" s="7" t="s">
        <v>215</v>
      </c>
      <c r="D2" s="7" t="s">
        <v>216</v>
      </c>
      <c r="E2" s="33" cm="1">
        <f t="array" ref="E2">COUNTIF('Quantity Sheet'!$E$2:$E$41,A2)</f>
        <v>9</v>
      </c>
      <c r="F2" s="33">
        <v>1</v>
      </c>
      <c r="G2" s="33">
        <v>1</v>
      </c>
      <c r="H2" s="33">
        <v>1</v>
      </c>
      <c r="I2" s="33">
        <v>0</v>
      </c>
      <c r="J2" s="33">
        <v>0</v>
      </c>
      <c r="K2" s="34" t="s">
        <v>217</v>
      </c>
      <c r="L2" s="5"/>
    </row>
    <row r="3" spans="1:12" ht="15" customHeight="1">
      <c r="A3" s="11" t="s">
        <v>15</v>
      </c>
      <c r="B3" s="12" t="s">
        <v>218</v>
      </c>
      <c r="C3" s="12" t="s">
        <v>219</v>
      </c>
      <c r="D3" s="12" t="s">
        <v>220</v>
      </c>
      <c r="E3" s="35" cm="1">
        <f t="array" ref="E3">COUNTIF('Quantity Sheet'!$E$2:$E$41,A3)</f>
        <v>7</v>
      </c>
      <c r="F3" s="35">
        <v>1</v>
      </c>
      <c r="G3" s="35">
        <v>1</v>
      </c>
      <c r="H3" s="35">
        <v>0</v>
      </c>
      <c r="I3" s="35">
        <v>0</v>
      </c>
      <c r="J3" s="35">
        <v>0</v>
      </c>
      <c r="K3" s="36" t="s">
        <v>221</v>
      </c>
      <c r="L3" s="5"/>
    </row>
    <row r="4" spans="1:12" ht="15" customHeight="1">
      <c r="A4" s="6" t="s">
        <v>13</v>
      </c>
      <c r="B4" s="7" t="s">
        <v>222</v>
      </c>
      <c r="C4" s="7" t="s">
        <v>223</v>
      </c>
      <c r="D4" s="7" t="s">
        <v>224</v>
      </c>
      <c r="E4" s="33" cm="1">
        <f t="array" ref="E4">COUNTIF('Quantity Sheet'!$E$2:$E$41,A4)</f>
        <v>14</v>
      </c>
      <c r="F4" s="33">
        <v>1</v>
      </c>
      <c r="G4" s="33">
        <v>2</v>
      </c>
      <c r="H4" s="33">
        <v>1</v>
      </c>
      <c r="I4" s="33">
        <v>0</v>
      </c>
      <c r="J4" s="33">
        <v>0</v>
      </c>
      <c r="K4" s="34" t="s">
        <v>225</v>
      </c>
      <c r="L4" s="5"/>
    </row>
    <row r="5" spans="1:12" ht="15" customHeight="1">
      <c r="A5" s="11" t="s">
        <v>12</v>
      </c>
      <c r="B5" s="12" t="s">
        <v>226</v>
      </c>
      <c r="C5" s="12" t="s">
        <v>227</v>
      </c>
      <c r="D5" s="12" t="s">
        <v>228</v>
      </c>
      <c r="E5" s="35" cm="1">
        <f t="array" ref="E5">COUNTIF('Quantity Sheet'!$E$2:$E$41,A5)</f>
        <v>10</v>
      </c>
      <c r="F5" s="35">
        <v>1</v>
      </c>
      <c r="G5" s="35">
        <v>3</v>
      </c>
      <c r="H5" s="35">
        <v>1</v>
      </c>
      <c r="I5" s="35">
        <v>1</v>
      </c>
      <c r="J5" s="35">
        <v>1</v>
      </c>
      <c r="K5" s="36" t="s">
        <v>229</v>
      </c>
      <c r="L5" s="5"/>
    </row>
    <row r="6" spans="1:12" ht="13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</row>
    <row r="7" spans="1:12" ht="13.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ht="13.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ht="13.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2" ht="13.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2"/>
  <sheetViews>
    <sheetView showGridLines="0" workbookViewId="0"/>
  </sheetViews>
  <sheetFormatPr defaultColWidth="8.875" defaultRowHeight="15" customHeight="1"/>
  <cols>
    <col min="1" max="1" width="14" style="1" customWidth="1"/>
    <col min="2" max="2" width="26" style="1" customWidth="1"/>
    <col min="3" max="3" width="11" style="1" customWidth="1"/>
    <col min="4" max="4" width="26" style="1" customWidth="1"/>
    <col min="5" max="5" width="9" style="1" customWidth="1"/>
    <col min="6" max="6" width="18" style="1" customWidth="1"/>
    <col min="7" max="7" width="14" style="1" customWidth="1"/>
    <col min="8" max="10" width="10" style="1" customWidth="1"/>
    <col min="11" max="11" width="12" style="1" customWidth="1"/>
    <col min="12" max="12" width="10" style="1" customWidth="1"/>
    <col min="13" max="14" width="8.875" style="1" customWidth="1"/>
    <col min="15" max="16384" width="8.875" style="1"/>
  </cols>
  <sheetData>
    <row r="1" spans="1:13" ht="26.45" customHeight="1">
      <c r="A1" s="2" t="s">
        <v>0</v>
      </c>
      <c r="B1" s="3" t="s">
        <v>230</v>
      </c>
      <c r="C1" s="3" t="s">
        <v>231</v>
      </c>
      <c r="D1" s="3" t="s">
        <v>232</v>
      </c>
      <c r="E1" s="3" t="s">
        <v>4</v>
      </c>
      <c r="F1" s="3" t="s">
        <v>233</v>
      </c>
      <c r="G1" s="3" t="s">
        <v>234</v>
      </c>
      <c r="H1" s="3" t="s">
        <v>5</v>
      </c>
      <c r="I1" s="3" t="s">
        <v>6</v>
      </c>
      <c r="J1" s="3" t="s">
        <v>7</v>
      </c>
      <c r="K1" s="3" t="s">
        <v>8</v>
      </c>
      <c r="L1" s="4" t="s">
        <v>9</v>
      </c>
      <c r="M1" s="5"/>
    </row>
    <row r="2" spans="1:13" ht="15" customHeight="1">
      <c r="A2" s="6" t="s">
        <v>10</v>
      </c>
      <c r="B2" s="7" t="s">
        <v>11</v>
      </c>
      <c r="C2" s="33">
        <v>1</v>
      </c>
      <c r="D2" s="7" t="s">
        <v>235</v>
      </c>
      <c r="E2" s="7" t="s">
        <v>12</v>
      </c>
      <c r="F2" s="37">
        <v>46209</v>
      </c>
      <c r="G2" s="7" t="s">
        <v>236</v>
      </c>
      <c r="H2" s="33">
        <v>1</v>
      </c>
      <c r="I2" s="33">
        <v>3</v>
      </c>
      <c r="J2" s="33">
        <v>1</v>
      </c>
      <c r="K2" s="33">
        <v>1</v>
      </c>
      <c r="L2" s="38">
        <v>1</v>
      </c>
      <c r="M2" s="5"/>
    </row>
    <row r="3" spans="1:13" ht="15" customHeight="1">
      <c r="A3" s="11" t="s">
        <v>10</v>
      </c>
      <c r="B3" s="12" t="s">
        <v>11</v>
      </c>
      <c r="C3" s="35">
        <v>2</v>
      </c>
      <c r="D3" s="12" t="s">
        <v>237</v>
      </c>
      <c r="E3" s="12" t="s">
        <v>12</v>
      </c>
      <c r="F3" s="39">
        <v>46209</v>
      </c>
      <c r="G3" s="12" t="s">
        <v>236</v>
      </c>
      <c r="H3" s="35">
        <v>1</v>
      </c>
      <c r="I3" s="35">
        <v>3</v>
      </c>
      <c r="J3" s="35">
        <v>1</v>
      </c>
      <c r="K3" s="35">
        <v>1</v>
      </c>
      <c r="L3" s="40">
        <v>1</v>
      </c>
      <c r="M3" s="5"/>
    </row>
    <row r="4" spans="1:13" ht="15" customHeight="1">
      <c r="A4" s="6" t="s">
        <v>10</v>
      </c>
      <c r="B4" s="7" t="s">
        <v>11</v>
      </c>
      <c r="C4" s="33">
        <v>3</v>
      </c>
      <c r="D4" s="7" t="s">
        <v>238</v>
      </c>
      <c r="E4" s="7" t="s">
        <v>12</v>
      </c>
      <c r="F4" s="37">
        <v>46209</v>
      </c>
      <c r="G4" s="7" t="s">
        <v>236</v>
      </c>
      <c r="H4" s="33">
        <v>1</v>
      </c>
      <c r="I4" s="33">
        <v>3</v>
      </c>
      <c r="J4" s="33">
        <v>1</v>
      </c>
      <c r="K4" s="33">
        <v>1</v>
      </c>
      <c r="L4" s="38">
        <v>1</v>
      </c>
      <c r="M4" s="5"/>
    </row>
    <row r="5" spans="1:13" ht="15" customHeight="1">
      <c r="A5" s="11" t="s">
        <v>10</v>
      </c>
      <c r="B5" s="12" t="s">
        <v>11</v>
      </c>
      <c r="C5" s="35">
        <v>4</v>
      </c>
      <c r="D5" s="12" t="s">
        <v>239</v>
      </c>
      <c r="E5" s="12" t="s">
        <v>12</v>
      </c>
      <c r="F5" s="39">
        <v>46209</v>
      </c>
      <c r="G5" s="12" t="s">
        <v>236</v>
      </c>
      <c r="H5" s="35">
        <v>1</v>
      </c>
      <c r="I5" s="35">
        <v>3</v>
      </c>
      <c r="J5" s="35">
        <v>1</v>
      </c>
      <c r="K5" s="35">
        <v>1</v>
      </c>
      <c r="L5" s="40">
        <v>1</v>
      </c>
      <c r="M5" s="5"/>
    </row>
    <row r="6" spans="1:13" ht="15" customHeight="1">
      <c r="A6" s="6" t="s">
        <v>10</v>
      </c>
      <c r="B6" s="7" t="s">
        <v>11</v>
      </c>
      <c r="C6" s="33">
        <v>5</v>
      </c>
      <c r="D6" s="7" t="s">
        <v>240</v>
      </c>
      <c r="E6" s="7" t="s">
        <v>12</v>
      </c>
      <c r="F6" s="37">
        <v>46216</v>
      </c>
      <c r="G6" s="7" t="s">
        <v>241</v>
      </c>
      <c r="H6" s="33">
        <v>1</v>
      </c>
      <c r="I6" s="33">
        <v>3</v>
      </c>
      <c r="J6" s="33">
        <v>1</v>
      </c>
      <c r="K6" s="33">
        <v>1</v>
      </c>
      <c r="L6" s="38">
        <v>1</v>
      </c>
      <c r="M6" s="5"/>
    </row>
    <row r="7" spans="1:13" ht="15" customHeight="1">
      <c r="A7" s="11" t="s">
        <v>10</v>
      </c>
      <c r="B7" s="12" t="s">
        <v>11</v>
      </c>
      <c r="C7" s="35">
        <v>6</v>
      </c>
      <c r="D7" s="12" t="s">
        <v>242</v>
      </c>
      <c r="E7" s="12" t="s">
        <v>12</v>
      </c>
      <c r="F7" s="39">
        <v>46216</v>
      </c>
      <c r="G7" s="12" t="s">
        <v>241</v>
      </c>
      <c r="H7" s="35">
        <v>1</v>
      </c>
      <c r="I7" s="35">
        <v>3</v>
      </c>
      <c r="J7" s="35">
        <v>1</v>
      </c>
      <c r="K7" s="35">
        <v>1</v>
      </c>
      <c r="L7" s="40">
        <v>1</v>
      </c>
      <c r="M7" s="5"/>
    </row>
    <row r="8" spans="1:13" ht="15" customHeight="1">
      <c r="A8" s="6" t="s">
        <v>10</v>
      </c>
      <c r="B8" s="7" t="s">
        <v>11</v>
      </c>
      <c r="C8" s="33">
        <v>7</v>
      </c>
      <c r="D8" s="7" t="s">
        <v>243</v>
      </c>
      <c r="E8" s="7" t="s">
        <v>13</v>
      </c>
      <c r="F8" s="37">
        <v>46216</v>
      </c>
      <c r="G8" s="7" t="s">
        <v>241</v>
      </c>
      <c r="H8" s="33">
        <v>1</v>
      </c>
      <c r="I8" s="33">
        <v>2</v>
      </c>
      <c r="J8" s="33">
        <v>1</v>
      </c>
      <c r="K8" s="33">
        <v>0</v>
      </c>
      <c r="L8" s="38">
        <v>0</v>
      </c>
      <c r="M8" s="5"/>
    </row>
    <row r="9" spans="1:13" ht="15" customHeight="1">
      <c r="A9" s="11" t="s">
        <v>10</v>
      </c>
      <c r="B9" s="12" t="s">
        <v>11</v>
      </c>
      <c r="C9" s="35">
        <v>8</v>
      </c>
      <c r="D9" s="12" t="s">
        <v>244</v>
      </c>
      <c r="E9" s="12" t="s">
        <v>13</v>
      </c>
      <c r="F9" s="39">
        <v>46216</v>
      </c>
      <c r="G9" s="12" t="s">
        <v>241</v>
      </c>
      <c r="H9" s="35">
        <v>1</v>
      </c>
      <c r="I9" s="35">
        <v>2</v>
      </c>
      <c r="J9" s="35">
        <v>1</v>
      </c>
      <c r="K9" s="35">
        <v>0</v>
      </c>
      <c r="L9" s="40">
        <v>0</v>
      </c>
      <c r="M9" s="5"/>
    </row>
    <row r="10" spans="1:13" ht="15" customHeight="1">
      <c r="A10" s="6" t="s">
        <v>10</v>
      </c>
      <c r="B10" s="7" t="s">
        <v>11</v>
      </c>
      <c r="C10" s="33">
        <v>9</v>
      </c>
      <c r="D10" s="7" t="s">
        <v>245</v>
      </c>
      <c r="E10" s="7" t="s">
        <v>13</v>
      </c>
      <c r="F10" s="37">
        <v>46223</v>
      </c>
      <c r="G10" s="7" t="s">
        <v>246</v>
      </c>
      <c r="H10" s="33">
        <v>1</v>
      </c>
      <c r="I10" s="33">
        <v>2</v>
      </c>
      <c r="J10" s="33">
        <v>1</v>
      </c>
      <c r="K10" s="33">
        <v>0</v>
      </c>
      <c r="L10" s="38">
        <v>0</v>
      </c>
      <c r="M10" s="5"/>
    </row>
    <row r="11" spans="1:13" ht="15" customHeight="1">
      <c r="A11" s="11" t="s">
        <v>10</v>
      </c>
      <c r="B11" s="12" t="s">
        <v>11</v>
      </c>
      <c r="C11" s="35">
        <v>10</v>
      </c>
      <c r="D11" s="12" t="s">
        <v>247</v>
      </c>
      <c r="E11" s="12" t="s">
        <v>13</v>
      </c>
      <c r="F11" s="39">
        <v>46223</v>
      </c>
      <c r="G11" s="12" t="s">
        <v>246</v>
      </c>
      <c r="H11" s="35">
        <v>1</v>
      </c>
      <c r="I11" s="35">
        <v>2</v>
      </c>
      <c r="J11" s="35">
        <v>1</v>
      </c>
      <c r="K11" s="35">
        <v>0</v>
      </c>
      <c r="L11" s="40">
        <v>0</v>
      </c>
      <c r="M11" s="5"/>
    </row>
    <row r="12" spans="1:13" ht="15" customHeight="1">
      <c r="A12" s="6" t="s">
        <v>10</v>
      </c>
      <c r="B12" s="7" t="s">
        <v>11</v>
      </c>
      <c r="C12" s="33">
        <v>11</v>
      </c>
      <c r="D12" s="7" t="s">
        <v>248</v>
      </c>
      <c r="E12" s="7" t="s">
        <v>13</v>
      </c>
      <c r="F12" s="37">
        <v>46223</v>
      </c>
      <c r="G12" s="7" t="s">
        <v>246</v>
      </c>
      <c r="H12" s="33">
        <v>1</v>
      </c>
      <c r="I12" s="33">
        <v>2</v>
      </c>
      <c r="J12" s="33">
        <v>1</v>
      </c>
      <c r="K12" s="33">
        <v>0</v>
      </c>
      <c r="L12" s="38">
        <v>0</v>
      </c>
      <c r="M12" s="5"/>
    </row>
    <row r="13" spans="1:13" ht="15" customHeight="1">
      <c r="A13" s="11" t="s">
        <v>10</v>
      </c>
      <c r="B13" s="12" t="s">
        <v>11</v>
      </c>
      <c r="C13" s="35">
        <v>12</v>
      </c>
      <c r="D13" s="12" t="s">
        <v>249</v>
      </c>
      <c r="E13" s="12" t="s">
        <v>13</v>
      </c>
      <c r="F13" s="39">
        <v>46223</v>
      </c>
      <c r="G13" s="12" t="s">
        <v>246</v>
      </c>
      <c r="H13" s="35">
        <v>1</v>
      </c>
      <c r="I13" s="35">
        <v>2</v>
      </c>
      <c r="J13" s="35">
        <v>1</v>
      </c>
      <c r="K13" s="35">
        <v>0</v>
      </c>
      <c r="L13" s="40">
        <v>0</v>
      </c>
      <c r="M13" s="5"/>
    </row>
    <row r="14" spans="1:13" ht="15" customHeight="1">
      <c r="A14" s="6" t="s">
        <v>10</v>
      </c>
      <c r="B14" s="7" t="s">
        <v>11</v>
      </c>
      <c r="C14" s="33">
        <v>13</v>
      </c>
      <c r="D14" s="7" t="s">
        <v>250</v>
      </c>
      <c r="E14" s="7" t="s">
        <v>13</v>
      </c>
      <c r="F14" s="37">
        <v>46230</v>
      </c>
      <c r="G14" s="7" t="s">
        <v>251</v>
      </c>
      <c r="H14" s="33">
        <v>1</v>
      </c>
      <c r="I14" s="33">
        <v>2</v>
      </c>
      <c r="J14" s="33">
        <v>1</v>
      </c>
      <c r="K14" s="33">
        <v>0</v>
      </c>
      <c r="L14" s="38">
        <v>0</v>
      </c>
      <c r="M14" s="5"/>
    </row>
    <row r="15" spans="1:13" ht="15" customHeight="1">
      <c r="A15" s="11" t="s">
        <v>10</v>
      </c>
      <c r="B15" s="12" t="s">
        <v>11</v>
      </c>
      <c r="C15" s="35">
        <v>14</v>
      </c>
      <c r="D15" s="12" t="s">
        <v>252</v>
      </c>
      <c r="E15" s="12" t="s">
        <v>13</v>
      </c>
      <c r="F15" s="39">
        <v>46230</v>
      </c>
      <c r="G15" s="12" t="s">
        <v>251</v>
      </c>
      <c r="H15" s="35">
        <v>1</v>
      </c>
      <c r="I15" s="35">
        <v>2</v>
      </c>
      <c r="J15" s="35">
        <v>1</v>
      </c>
      <c r="K15" s="35">
        <v>0</v>
      </c>
      <c r="L15" s="40">
        <v>0</v>
      </c>
      <c r="M15" s="5"/>
    </row>
    <row r="16" spans="1:13" ht="15" customHeight="1">
      <c r="A16" s="6" t="s">
        <v>10</v>
      </c>
      <c r="B16" s="7" t="s">
        <v>11</v>
      </c>
      <c r="C16" s="33">
        <v>15</v>
      </c>
      <c r="D16" s="7" t="s">
        <v>253</v>
      </c>
      <c r="E16" s="7" t="s">
        <v>14</v>
      </c>
      <c r="F16" s="37">
        <v>46230</v>
      </c>
      <c r="G16" s="7" t="s">
        <v>251</v>
      </c>
      <c r="H16" s="33">
        <v>1</v>
      </c>
      <c r="I16" s="33">
        <v>1</v>
      </c>
      <c r="J16" s="33">
        <v>1</v>
      </c>
      <c r="K16" s="33">
        <v>0</v>
      </c>
      <c r="L16" s="38">
        <v>0</v>
      </c>
      <c r="M16" s="5"/>
    </row>
    <row r="17" spans="1:13" ht="15" customHeight="1">
      <c r="A17" s="11" t="s">
        <v>10</v>
      </c>
      <c r="B17" s="12" t="s">
        <v>11</v>
      </c>
      <c r="C17" s="35">
        <v>16</v>
      </c>
      <c r="D17" s="12" t="s">
        <v>254</v>
      </c>
      <c r="E17" s="12" t="s">
        <v>14</v>
      </c>
      <c r="F17" s="39">
        <v>46230</v>
      </c>
      <c r="G17" s="12" t="s">
        <v>251</v>
      </c>
      <c r="H17" s="35">
        <v>1</v>
      </c>
      <c r="I17" s="35">
        <v>1</v>
      </c>
      <c r="J17" s="35">
        <v>1</v>
      </c>
      <c r="K17" s="35">
        <v>0</v>
      </c>
      <c r="L17" s="40">
        <v>0</v>
      </c>
      <c r="M17" s="5"/>
    </row>
    <row r="18" spans="1:13" ht="15" customHeight="1">
      <c r="A18" s="6" t="s">
        <v>10</v>
      </c>
      <c r="B18" s="7" t="s">
        <v>11</v>
      </c>
      <c r="C18" s="33">
        <v>17</v>
      </c>
      <c r="D18" s="7" t="s">
        <v>255</v>
      </c>
      <c r="E18" s="7" t="s">
        <v>14</v>
      </c>
      <c r="F18" s="37">
        <v>46237</v>
      </c>
      <c r="G18" s="7" t="s">
        <v>256</v>
      </c>
      <c r="H18" s="33">
        <v>1</v>
      </c>
      <c r="I18" s="33">
        <v>1</v>
      </c>
      <c r="J18" s="33">
        <v>1</v>
      </c>
      <c r="K18" s="33">
        <v>0</v>
      </c>
      <c r="L18" s="38">
        <v>0</v>
      </c>
      <c r="M18" s="5"/>
    </row>
    <row r="19" spans="1:13" ht="15" customHeight="1">
      <c r="A19" s="11" t="s">
        <v>10</v>
      </c>
      <c r="B19" s="12" t="s">
        <v>11</v>
      </c>
      <c r="C19" s="35">
        <v>18</v>
      </c>
      <c r="D19" s="12" t="s">
        <v>257</v>
      </c>
      <c r="E19" s="12" t="s">
        <v>14</v>
      </c>
      <c r="F19" s="39">
        <v>46237</v>
      </c>
      <c r="G19" s="12" t="s">
        <v>256</v>
      </c>
      <c r="H19" s="35">
        <v>1</v>
      </c>
      <c r="I19" s="35">
        <v>1</v>
      </c>
      <c r="J19" s="35">
        <v>1</v>
      </c>
      <c r="K19" s="35">
        <v>0</v>
      </c>
      <c r="L19" s="40">
        <v>0</v>
      </c>
      <c r="M19" s="5"/>
    </row>
    <row r="20" spans="1:13" ht="15" customHeight="1">
      <c r="A20" s="6" t="s">
        <v>10</v>
      </c>
      <c r="B20" s="7" t="s">
        <v>11</v>
      </c>
      <c r="C20" s="33">
        <v>19</v>
      </c>
      <c r="D20" s="7" t="s">
        <v>258</v>
      </c>
      <c r="E20" s="7" t="s">
        <v>14</v>
      </c>
      <c r="F20" s="37">
        <v>46237</v>
      </c>
      <c r="G20" s="7" t="s">
        <v>256</v>
      </c>
      <c r="H20" s="33">
        <v>1</v>
      </c>
      <c r="I20" s="33">
        <v>1</v>
      </c>
      <c r="J20" s="33">
        <v>1</v>
      </c>
      <c r="K20" s="33">
        <v>0</v>
      </c>
      <c r="L20" s="38">
        <v>0</v>
      </c>
      <c r="M20" s="5"/>
    </row>
    <row r="21" spans="1:13" ht="15" customHeight="1">
      <c r="A21" s="11" t="s">
        <v>10</v>
      </c>
      <c r="B21" s="12" t="s">
        <v>11</v>
      </c>
      <c r="C21" s="35">
        <v>20</v>
      </c>
      <c r="D21" s="12" t="s">
        <v>259</v>
      </c>
      <c r="E21" s="12" t="s">
        <v>15</v>
      </c>
      <c r="F21" s="39">
        <v>46237</v>
      </c>
      <c r="G21" s="12" t="s">
        <v>256</v>
      </c>
      <c r="H21" s="35">
        <v>1</v>
      </c>
      <c r="I21" s="35">
        <v>1</v>
      </c>
      <c r="J21" s="35">
        <v>0</v>
      </c>
      <c r="K21" s="35">
        <v>0</v>
      </c>
      <c r="L21" s="40">
        <v>0</v>
      </c>
      <c r="M21" s="5"/>
    </row>
    <row r="22" spans="1:13" ht="15" customHeight="1">
      <c r="A22" s="6" t="s">
        <v>10</v>
      </c>
      <c r="B22" s="7" t="s">
        <v>11</v>
      </c>
      <c r="C22" s="33">
        <v>21</v>
      </c>
      <c r="D22" s="7" t="s">
        <v>260</v>
      </c>
      <c r="E22" s="7" t="s">
        <v>15</v>
      </c>
      <c r="F22" s="37">
        <v>46244</v>
      </c>
      <c r="G22" s="7" t="s">
        <v>261</v>
      </c>
      <c r="H22" s="33">
        <v>1</v>
      </c>
      <c r="I22" s="33">
        <v>1</v>
      </c>
      <c r="J22" s="33">
        <v>0</v>
      </c>
      <c r="K22" s="33">
        <v>0</v>
      </c>
      <c r="L22" s="38">
        <v>0</v>
      </c>
      <c r="M22" s="5"/>
    </row>
    <row r="23" spans="1:13" ht="15" customHeight="1">
      <c r="A23" s="11" t="s">
        <v>10</v>
      </c>
      <c r="B23" s="12" t="s">
        <v>11</v>
      </c>
      <c r="C23" s="35">
        <v>22</v>
      </c>
      <c r="D23" s="12" t="s">
        <v>262</v>
      </c>
      <c r="E23" s="12" t="s">
        <v>15</v>
      </c>
      <c r="F23" s="39">
        <v>46244</v>
      </c>
      <c r="G23" s="12" t="s">
        <v>261</v>
      </c>
      <c r="H23" s="35">
        <v>1</v>
      </c>
      <c r="I23" s="35">
        <v>1</v>
      </c>
      <c r="J23" s="35">
        <v>0</v>
      </c>
      <c r="K23" s="35">
        <v>0</v>
      </c>
      <c r="L23" s="40">
        <v>0</v>
      </c>
      <c r="M23" s="5"/>
    </row>
    <row r="24" spans="1:13" ht="15" customHeight="1">
      <c r="A24" s="6" t="s">
        <v>10</v>
      </c>
      <c r="B24" s="7" t="s">
        <v>11</v>
      </c>
      <c r="C24" s="33">
        <v>23</v>
      </c>
      <c r="D24" s="7" t="s">
        <v>263</v>
      </c>
      <c r="E24" s="7" t="s">
        <v>15</v>
      </c>
      <c r="F24" s="37">
        <v>46244</v>
      </c>
      <c r="G24" s="7" t="s">
        <v>261</v>
      </c>
      <c r="H24" s="33">
        <v>1</v>
      </c>
      <c r="I24" s="33">
        <v>1</v>
      </c>
      <c r="J24" s="33">
        <v>0</v>
      </c>
      <c r="K24" s="33">
        <v>0</v>
      </c>
      <c r="L24" s="38">
        <v>0</v>
      </c>
      <c r="M24" s="5"/>
    </row>
    <row r="25" spans="1:13" ht="15" customHeight="1">
      <c r="A25" s="11" t="s">
        <v>10</v>
      </c>
      <c r="B25" s="12" t="s">
        <v>11</v>
      </c>
      <c r="C25" s="35">
        <v>24</v>
      </c>
      <c r="D25" s="12" t="s">
        <v>264</v>
      </c>
      <c r="E25" s="12" t="s">
        <v>15</v>
      </c>
      <c r="F25" s="39">
        <v>46244</v>
      </c>
      <c r="G25" s="12" t="s">
        <v>261</v>
      </c>
      <c r="H25" s="35">
        <v>1</v>
      </c>
      <c r="I25" s="35">
        <v>1</v>
      </c>
      <c r="J25" s="35">
        <v>0</v>
      </c>
      <c r="K25" s="35">
        <v>0</v>
      </c>
      <c r="L25" s="40">
        <v>0</v>
      </c>
      <c r="M25" s="5"/>
    </row>
    <row r="26" spans="1:13" ht="15" customHeight="1">
      <c r="A26" s="6" t="s">
        <v>10</v>
      </c>
      <c r="B26" s="7" t="s">
        <v>16</v>
      </c>
      <c r="C26" s="33">
        <v>1</v>
      </c>
      <c r="D26" s="7" t="s">
        <v>265</v>
      </c>
      <c r="E26" s="7" t="s">
        <v>12</v>
      </c>
      <c r="F26" s="37">
        <v>46251</v>
      </c>
      <c r="G26" s="7" t="s">
        <v>266</v>
      </c>
      <c r="H26" s="33">
        <v>1</v>
      </c>
      <c r="I26" s="33">
        <v>3</v>
      </c>
      <c r="J26" s="33">
        <v>1</v>
      </c>
      <c r="K26" s="33">
        <v>1</v>
      </c>
      <c r="L26" s="38">
        <v>1</v>
      </c>
      <c r="M26" s="5"/>
    </row>
    <row r="27" spans="1:13" ht="15" customHeight="1">
      <c r="A27" s="11" t="s">
        <v>10</v>
      </c>
      <c r="B27" s="12" t="s">
        <v>16</v>
      </c>
      <c r="C27" s="35">
        <v>2</v>
      </c>
      <c r="D27" s="12" t="s">
        <v>267</v>
      </c>
      <c r="E27" s="12" t="s">
        <v>12</v>
      </c>
      <c r="F27" s="39">
        <v>46251</v>
      </c>
      <c r="G27" s="12" t="s">
        <v>266</v>
      </c>
      <c r="H27" s="35">
        <v>1</v>
      </c>
      <c r="I27" s="35">
        <v>3</v>
      </c>
      <c r="J27" s="35">
        <v>1</v>
      </c>
      <c r="K27" s="35">
        <v>1</v>
      </c>
      <c r="L27" s="40">
        <v>1</v>
      </c>
      <c r="M27" s="5"/>
    </row>
    <row r="28" spans="1:13" ht="15" customHeight="1">
      <c r="A28" s="6" t="s">
        <v>10</v>
      </c>
      <c r="B28" s="7" t="s">
        <v>16</v>
      </c>
      <c r="C28" s="33">
        <v>3</v>
      </c>
      <c r="D28" s="7" t="s">
        <v>268</v>
      </c>
      <c r="E28" s="7" t="s">
        <v>12</v>
      </c>
      <c r="F28" s="37">
        <v>46251</v>
      </c>
      <c r="G28" s="7" t="s">
        <v>266</v>
      </c>
      <c r="H28" s="33">
        <v>1</v>
      </c>
      <c r="I28" s="33">
        <v>3</v>
      </c>
      <c r="J28" s="33">
        <v>1</v>
      </c>
      <c r="K28" s="33">
        <v>1</v>
      </c>
      <c r="L28" s="38">
        <v>1</v>
      </c>
      <c r="M28" s="5"/>
    </row>
    <row r="29" spans="1:13" ht="15" customHeight="1">
      <c r="A29" s="11" t="s">
        <v>10</v>
      </c>
      <c r="B29" s="12" t="s">
        <v>16</v>
      </c>
      <c r="C29" s="35">
        <v>4</v>
      </c>
      <c r="D29" s="12" t="s">
        <v>269</v>
      </c>
      <c r="E29" s="12" t="s">
        <v>12</v>
      </c>
      <c r="F29" s="39">
        <v>46251</v>
      </c>
      <c r="G29" s="12" t="s">
        <v>266</v>
      </c>
      <c r="H29" s="35">
        <v>1</v>
      </c>
      <c r="I29" s="35">
        <v>3</v>
      </c>
      <c r="J29" s="35">
        <v>1</v>
      </c>
      <c r="K29" s="35">
        <v>1</v>
      </c>
      <c r="L29" s="40">
        <v>1</v>
      </c>
      <c r="M29" s="5"/>
    </row>
    <row r="30" spans="1:13" ht="15" customHeight="1">
      <c r="A30" s="6" t="s">
        <v>10</v>
      </c>
      <c r="B30" s="7" t="s">
        <v>16</v>
      </c>
      <c r="C30" s="33">
        <v>5</v>
      </c>
      <c r="D30" s="7" t="s">
        <v>270</v>
      </c>
      <c r="E30" s="7" t="s">
        <v>13</v>
      </c>
      <c r="F30" s="37">
        <v>46258</v>
      </c>
      <c r="G30" s="7" t="s">
        <v>271</v>
      </c>
      <c r="H30" s="33">
        <v>1</v>
      </c>
      <c r="I30" s="33">
        <v>2</v>
      </c>
      <c r="J30" s="33">
        <v>1</v>
      </c>
      <c r="K30" s="33">
        <v>0</v>
      </c>
      <c r="L30" s="38">
        <v>0</v>
      </c>
      <c r="M30" s="5"/>
    </row>
    <row r="31" spans="1:13" ht="15" customHeight="1">
      <c r="A31" s="11" t="s">
        <v>10</v>
      </c>
      <c r="B31" s="12" t="s">
        <v>16</v>
      </c>
      <c r="C31" s="35">
        <v>6</v>
      </c>
      <c r="D31" s="12" t="s">
        <v>272</v>
      </c>
      <c r="E31" s="12" t="s">
        <v>13</v>
      </c>
      <c r="F31" s="39">
        <v>46258</v>
      </c>
      <c r="G31" s="12" t="s">
        <v>271</v>
      </c>
      <c r="H31" s="35">
        <v>1</v>
      </c>
      <c r="I31" s="35">
        <v>2</v>
      </c>
      <c r="J31" s="35">
        <v>1</v>
      </c>
      <c r="K31" s="35">
        <v>0</v>
      </c>
      <c r="L31" s="40">
        <v>0</v>
      </c>
      <c r="M31" s="5"/>
    </row>
    <row r="32" spans="1:13" ht="15" customHeight="1">
      <c r="A32" s="6" t="s">
        <v>10</v>
      </c>
      <c r="B32" s="7" t="s">
        <v>16</v>
      </c>
      <c r="C32" s="33">
        <v>7</v>
      </c>
      <c r="D32" s="7" t="s">
        <v>273</v>
      </c>
      <c r="E32" s="7" t="s">
        <v>13</v>
      </c>
      <c r="F32" s="37">
        <v>46258</v>
      </c>
      <c r="G32" s="7" t="s">
        <v>271</v>
      </c>
      <c r="H32" s="33">
        <v>1</v>
      </c>
      <c r="I32" s="33">
        <v>2</v>
      </c>
      <c r="J32" s="33">
        <v>1</v>
      </c>
      <c r="K32" s="33">
        <v>0</v>
      </c>
      <c r="L32" s="38">
        <v>0</v>
      </c>
      <c r="M32" s="5"/>
    </row>
    <row r="33" spans="1:13" ht="15" customHeight="1">
      <c r="A33" s="11" t="s">
        <v>10</v>
      </c>
      <c r="B33" s="12" t="s">
        <v>16</v>
      </c>
      <c r="C33" s="35">
        <v>8</v>
      </c>
      <c r="D33" s="12" t="s">
        <v>274</v>
      </c>
      <c r="E33" s="12" t="s">
        <v>13</v>
      </c>
      <c r="F33" s="39">
        <v>46258</v>
      </c>
      <c r="G33" s="12" t="s">
        <v>271</v>
      </c>
      <c r="H33" s="35">
        <v>1</v>
      </c>
      <c r="I33" s="35">
        <v>2</v>
      </c>
      <c r="J33" s="35">
        <v>1</v>
      </c>
      <c r="K33" s="35">
        <v>0</v>
      </c>
      <c r="L33" s="40">
        <v>0</v>
      </c>
      <c r="M33" s="5"/>
    </row>
    <row r="34" spans="1:13" ht="15" customHeight="1">
      <c r="A34" s="6" t="s">
        <v>10</v>
      </c>
      <c r="B34" s="7" t="s">
        <v>16</v>
      </c>
      <c r="C34" s="33">
        <v>9</v>
      </c>
      <c r="D34" s="7" t="s">
        <v>275</v>
      </c>
      <c r="E34" s="7" t="s">
        <v>13</v>
      </c>
      <c r="F34" s="37">
        <v>46265</v>
      </c>
      <c r="G34" s="7" t="s">
        <v>276</v>
      </c>
      <c r="H34" s="33">
        <v>1</v>
      </c>
      <c r="I34" s="33">
        <v>2</v>
      </c>
      <c r="J34" s="33">
        <v>1</v>
      </c>
      <c r="K34" s="33">
        <v>0</v>
      </c>
      <c r="L34" s="38">
        <v>0</v>
      </c>
      <c r="M34" s="5"/>
    </row>
    <row r="35" spans="1:13" ht="15" customHeight="1">
      <c r="A35" s="11" t="s">
        <v>10</v>
      </c>
      <c r="B35" s="12" t="s">
        <v>16</v>
      </c>
      <c r="C35" s="35">
        <v>10</v>
      </c>
      <c r="D35" s="12" t="s">
        <v>277</v>
      </c>
      <c r="E35" s="12" t="s">
        <v>13</v>
      </c>
      <c r="F35" s="39">
        <v>46265</v>
      </c>
      <c r="G35" s="12" t="s">
        <v>276</v>
      </c>
      <c r="H35" s="35">
        <v>1</v>
      </c>
      <c r="I35" s="35">
        <v>2</v>
      </c>
      <c r="J35" s="35">
        <v>1</v>
      </c>
      <c r="K35" s="35">
        <v>0</v>
      </c>
      <c r="L35" s="40">
        <v>0</v>
      </c>
      <c r="M35" s="5"/>
    </row>
    <row r="36" spans="1:13" ht="15" customHeight="1">
      <c r="A36" s="6" t="s">
        <v>10</v>
      </c>
      <c r="B36" s="7" t="s">
        <v>16</v>
      </c>
      <c r="C36" s="33">
        <v>11</v>
      </c>
      <c r="D36" s="7" t="s">
        <v>278</v>
      </c>
      <c r="E36" s="7" t="s">
        <v>14</v>
      </c>
      <c r="F36" s="37">
        <v>46265</v>
      </c>
      <c r="G36" s="7" t="s">
        <v>276</v>
      </c>
      <c r="H36" s="33">
        <v>1</v>
      </c>
      <c r="I36" s="33">
        <v>1</v>
      </c>
      <c r="J36" s="33">
        <v>1</v>
      </c>
      <c r="K36" s="33">
        <v>0</v>
      </c>
      <c r="L36" s="38">
        <v>0</v>
      </c>
      <c r="M36" s="5"/>
    </row>
    <row r="37" spans="1:13" ht="15" customHeight="1">
      <c r="A37" s="11" t="s">
        <v>10</v>
      </c>
      <c r="B37" s="12" t="s">
        <v>16</v>
      </c>
      <c r="C37" s="35">
        <v>12</v>
      </c>
      <c r="D37" s="12" t="s">
        <v>279</v>
      </c>
      <c r="E37" s="12" t="s">
        <v>14</v>
      </c>
      <c r="F37" s="39">
        <v>46265</v>
      </c>
      <c r="G37" s="12" t="s">
        <v>276</v>
      </c>
      <c r="H37" s="35">
        <v>1</v>
      </c>
      <c r="I37" s="35">
        <v>1</v>
      </c>
      <c r="J37" s="35">
        <v>1</v>
      </c>
      <c r="K37" s="35">
        <v>0</v>
      </c>
      <c r="L37" s="40">
        <v>0</v>
      </c>
      <c r="M37" s="5"/>
    </row>
    <row r="38" spans="1:13" ht="15" customHeight="1">
      <c r="A38" s="6" t="s">
        <v>10</v>
      </c>
      <c r="B38" s="7" t="s">
        <v>16</v>
      </c>
      <c r="C38" s="33">
        <v>13</v>
      </c>
      <c r="D38" s="7" t="s">
        <v>280</v>
      </c>
      <c r="E38" s="7" t="s">
        <v>14</v>
      </c>
      <c r="F38" s="37">
        <v>46272</v>
      </c>
      <c r="G38" s="7" t="s">
        <v>281</v>
      </c>
      <c r="H38" s="33">
        <v>1</v>
      </c>
      <c r="I38" s="33">
        <v>1</v>
      </c>
      <c r="J38" s="33">
        <v>1</v>
      </c>
      <c r="K38" s="33">
        <v>0</v>
      </c>
      <c r="L38" s="38">
        <v>0</v>
      </c>
      <c r="M38" s="5"/>
    </row>
    <row r="39" spans="1:13" ht="15" customHeight="1">
      <c r="A39" s="11" t="s">
        <v>10</v>
      </c>
      <c r="B39" s="12" t="s">
        <v>16</v>
      </c>
      <c r="C39" s="35">
        <v>14</v>
      </c>
      <c r="D39" s="12" t="s">
        <v>282</v>
      </c>
      <c r="E39" s="12" t="s">
        <v>14</v>
      </c>
      <c r="F39" s="39">
        <v>46272</v>
      </c>
      <c r="G39" s="12" t="s">
        <v>281</v>
      </c>
      <c r="H39" s="35">
        <v>1</v>
      </c>
      <c r="I39" s="35">
        <v>1</v>
      </c>
      <c r="J39" s="35">
        <v>1</v>
      </c>
      <c r="K39" s="35">
        <v>0</v>
      </c>
      <c r="L39" s="40">
        <v>0</v>
      </c>
      <c r="M39" s="5"/>
    </row>
    <row r="40" spans="1:13" ht="15" customHeight="1">
      <c r="A40" s="6" t="s">
        <v>10</v>
      </c>
      <c r="B40" s="7" t="s">
        <v>16</v>
      </c>
      <c r="C40" s="33">
        <v>15</v>
      </c>
      <c r="D40" s="7" t="s">
        <v>283</v>
      </c>
      <c r="E40" s="7" t="s">
        <v>15</v>
      </c>
      <c r="F40" s="37">
        <v>46272</v>
      </c>
      <c r="G40" s="7" t="s">
        <v>281</v>
      </c>
      <c r="H40" s="33">
        <v>1</v>
      </c>
      <c r="I40" s="33">
        <v>1</v>
      </c>
      <c r="J40" s="33">
        <v>0</v>
      </c>
      <c r="K40" s="33">
        <v>0</v>
      </c>
      <c r="L40" s="38">
        <v>0</v>
      </c>
      <c r="M40" s="5"/>
    </row>
    <row r="41" spans="1:13" ht="15" customHeight="1">
      <c r="A41" s="11" t="s">
        <v>10</v>
      </c>
      <c r="B41" s="12" t="s">
        <v>16</v>
      </c>
      <c r="C41" s="35">
        <v>16</v>
      </c>
      <c r="D41" s="12" t="s">
        <v>284</v>
      </c>
      <c r="E41" s="12" t="s">
        <v>15</v>
      </c>
      <c r="F41" s="39">
        <v>46272</v>
      </c>
      <c r="G41" s="12" t="s">
        <v>281</v>
      </c>
      <c r="H41" s="35">
        <v>1</v>
      </c>
      <c r="I41" s="35">
        <v>1</v>
      </c>
      <c r="J41" s="35">
        <v>0</v>
      </c>
      <c r="K41" s="35">
        <v>0</v>
      </c>
      <c r="L41" s="40">
        <v>0</v>
      </c>
      <c r="M41" s="5"/>
    </row>
    <row r="42" spans="1:13" ht="13.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"/>
  <sheetViews>
    <sheetView showGridLines="0" workbookViewId="0"/>
  </sheetViews>
  <sheetFormatPr defaultColWidth="8.875" defaultRowHeight="15" customHeight="1"/>
  <cols>
    <col min="1" max="1" width="10" style="1" customWidth="1"/>
    <col min="2" max="2" width="18" style="1" customWidth="1"/>
    <col min="3" max="5" width="24" style="1" customWidth="1"/>
    <col min="6" max="6" width="44" style="1" customWidth="1"/>
    <col min="7" max="7" width="78" style="1" customWidth="1"/>
    <col min="8" max="9" width="8.875" style="1" customWidth="1"/>
    <col min="10" max="16384" width="8.875" style="1"/>
  </cols>
  <sheetData>
    <row r="1" spans="1:8" ht="26.45" customHeight="1">
      <c r="A1" s="2" t="s">
        <v>285</v>
      </c>
      <c r="B1" s="3" t="s">
        <v>286</v>
      </c>
      <c r="C1" s="3" t="s">
        <v>287</v>
      </c>
      <c r="D1" s="3" t="s">
        <v>288</v>
      </c>
      <c r="E1" s="3" t="s">
        <v>289</v>
      </c>
      <c r="F1" s="3" t="s">
        <v>290</v>
      </c>
      <c r="G1" s="4" t="s">
        <v>213</v>
      </c>
      <c r="H1" s="5"/>
    </row>
    <row r="2" spans="1:8" ht="15" customHeight="1">
      <c r="A2" s="41">
        <v>1</v>
      </c>
      <c r="B2" s="7" t="s">
        <v>291</v>
      </c>
      <c r="C2" s="33">
        <v>-75</v>
      </c>
      <c r="D2" s="33">
        <v>-70</v>
      </c>
      <c r="E2" s="7" t="s">
        <v>292</v>
      </c>
      <c r="F2" s="7" t="s">
        <v>293</v>
      </c>
      <c r="G2" s="34" t="s">
        <v>294</v>
      </c>
      <c r="H2" s="5"/>
    </row>
    <row r="3" spans="1:8" ht="15" customHeight="1">
      <c r="A3" s="42">
        <v>2</v>
      </c>
      <c r="B3" s="12" t="s">
        <v>295</v>
      </c>
      <c r="C3" s="35">
        <v>-60</v>
      </c>
      <c r="D3" s="35">
        <v>-55</v>
      </c>
      <c r="E3" s="12" t="s">
        <v>296</v>
      </c>
      <c r="F3" s="12" t="s">
        <v>297</v>
      </c>
      <c r="G3" s="36" t="s">
        <v>298</v>
      </c>
      <c r="H3" s="5"/>
    </row>
    <row r="4" spans="1:8" ht="15" customHeight="1">
      <c r="A4" s="41">
        <v>3</v>
      </c>
      <c r="B4" s="7" t="s">
        <v>299</v>
      </c>
      <c r="C4" s="33">
        <v>-50</v>
      </c>
      <c r="D4" s="33">
        <v>-40</v>
      </c>
      <c r="E4" s="7" t="s">
        <v>300</v>
      </c>
      <c r="F4" s="7" t="s">
        <v>301</v>
      </c>
      <c r="G4" s="34" t="s">
        <v>302</v>
      </c>
      <c r="H4" s="5"/>
    </row>
    <row r="5" spans="1:8" ht="15" customHeight="1">
      <c r="A5" s="42">
        <v>4</v>
      </c>
      <c r="B5" s="12" t="s">
        <v>303</v>
      </c>
      <c r="C5" s="35">
        <v>-35</v>
      </c>
      <c r="D5" s="35">
        <v>-34</v>
      </c>
      <c r="E5" s="12" t="s">
        <v>304</v>
      </c>
      <c r="F5" s="12" t="s">
        <v>305</v>
      </c>
      <c r="G5" s="36" t="s">
        <v>306</v>
      </c>
      <c r="H5" s="5"/>
    </row>
    <row r="6" spans="1:8" ht="15" customHeight="1">
      <c r="A6" s="41">
        <v>5</v>
      </c>
      <c r="B6" s="7" t="s">
        <v>307</v>
      </c>
      <c r="C6" s="33">
        <v>-28</v>
      </c>
      <c r="D6" s="33">
        <v>-14</v>
      </c>
      <c r="E6" s="7" t="s">
        <v>308</v>
      </c>
      <c r="F6" s="7" t="s">
        <v>309</v>
      </c>
      <c r="G6" s="34" t="s">
        <v>310</v>
      </c>
      <c r="H6" s="5"/>
    </row>
    <row r="7" spans="1:8" ht="15" customHeight="1">
      <c r="A7" s="42">
        <v>6</v>
      </c>
      <c r="B7" s="12" t="s">
        <v>311</v>
      </c>
      <c r="C7" s="35">
        <v>-13</v>
      </c>
      <c r="D7" s="35">
        <v>-10</v>
      </c>
      <c r="E7" s="12" t="s">
        <v>311</v>
      </c>
      <c r="F7" s="12" t="s">
        <v>312</v>
      </c>
      <c r="G7" s="36" t="s">
        <v>313</v>
      </c>
      <c r="H7" s="5"/>
    </row>
    <row r="8" spans="1:8" ht="15" customHeight="1">
      <c r="A8" s="41">
        <v>7</v>
      </c>
      <c r="B8" s="7" t="s">
        <v>314</v>
      </c>
      <c r="C8" s="33">
        <v>-5</v>
      </c>
      <c r="D8" s="33">
        <v>-3</v>
      </c>
      <c r="E8" s="7" t="s">
        <v>314</v>
      </c>
      <c r="F8" s="7" t="s">
        <v>315</v>
      </c>
      <c r="G8" s="34" t="s">
        <v>316</v>
      </c>
      <c r="H8" s="5"/>
    </row>
    <row r="9" spans="1:8" ht="15" customHeight="1">
      <c r="A9" s="42">
        <v>8</v>
      </c>
      <c r="B9" s="12" t="s">
        <v>317</v>
      </c>
      <c r="C9" s="35">
        <v>0</v>
      </c>
      <c r="D9" s="35">
        <v>0</v>
      </c>
      <c r="E9" s="12" t="s">
        <v>317</v>
      </c>
      <c r="F9" s="12" t="s">
        <v>315</v>
      </c>
      <c r="G9" s="36" t="s">
        <v>318</v>
      </c>
      <c r="H9" s="5"/>
    </row>
    <row r="10" spans="1:8" ht="15" customHeight="1">
      <c r="A10" s="41">
        <v>9</v>
      </c>
      <c r="B10" s="7" t="s">
        <v>319</v>
      </c>
      <c r="C10" s="33">
        <v>1</v>
      </c>
      <c r="D10" s="33">
        <v>5</v>
      </c>
      <c r="E10" s="7" t="s">
        <v>319</v>
      </c>
      <c r="F10" s="7" t="s">
        <v>320</v>
      </c>
      <c r="G10" s="34" t="s">
        <v>321</v>
      </c>
      <c r="H10" s="5"/>
    </row>
    <row r="11" spans="1:8" ht="15" customHeight="1">
      <c r="A11" s="42">
        <v>10</v>
      </c>
      <c r="B11" s="12" t="s">
        <v>322</v>
      </c>
      <c r="C11" s="35">
        <v>6</v>
      </c>
      <c r="D11" s="35">
        <v>10</v>
      </c>
      <c r="E11" s="12" t="s">
        <v>323</v>
      </c>
      <c r="F11" s="12" t="s">
        <v>324</v>
      </c>
      <c r="G11" s="36" t="s">
        <v>325</v>
      </c>
      <c r="H11" s="5"/>
    </row>
    <row r="12" spans="1:8" ht="13.5" customHeight="1">
      <c r="A12" s="16"/>
      <c r="B12" s="16"/>
      <c r="C12" s="16"/>
      <c r="D12" s="16"/>
      <c r="E12" s="16"/>
      <c r="F12" s="16"/>
      <c r="G12" s="16"/>
      <c r="H12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"/>
  <sheetViews>
    <sheetView showGridLines="0" workbookViewId="0"/>
  </sheetViews>
  <sheetFormatPr defaultColWidth="8.875" defaultRowHeight="15" customHeight="1"/>
  <cols>
    <col min="1" max="1" width="24" style="1" customWidth="1"/>
    <col min="2" max="2" width="20" style="1" customWidth="1"/>
    <col min="3" max="4" width="12" style="1" customWidth="1"/>
    <col min="5" max="5" width="62" style="1" customWidth="1"/>
    <col min="6" max="7" width="8.875" style="1" customWidth="1"/>
    <col min="8" max="16384" width="8.875" style="1"/>
  </cols>
  <sheetData>
    <row r="1" spans="1:6" ht="15" customHeight="1">
      <c r="A1" s="2" t="s">
        <v>326</v>
      </c>
      <c r="B1" s="3" t="s">
        <v>327</v>
      </c>
      <c r="C1" s="3" t="s">
        <v>328</v>
      </c>
      <c r="D1" s="3" t="s">
        <v>329</v>
      </c>
      <c r="E1" s="4" t="s">
        <v>213</v>
      </c>
      <c r="F1" s="5"/>
    </row>
    <row r="2" spans="1:6" ht="15" customHeight="1">
      <c r="A2" s="6" t="s">
        <v>215</v>
      </c>
      <c r="B2" s="7" t="s">
        <v>330</v>
      </c>
      <c r="C2" s="33" cm="1">
        <f t="array" ref="C2">COUNTA('T1 Manifest'!B2:B200)</f>
        <v>19</v>
      </c>
      <c r="D2" s="33" cm="1">
        <f t="array" ref="D2">SUM('T1 Manifest'!H2:H200)</f>
        <v>31</v>
      </c>
      <c r="E2" s="34" t="s">
        <v>331</v>
      </c>
      <c r="F2" s="5"/>
    </row>
    <row r="3" spans="1:6" ht="15" customHeight="1">
      <c r="A3" s="11" t="s">
        <v>219</v>
      </c>
      <c r="B3" s="12" t="s">
        <v>5</v>
      </c>
      <c r="C3" s="35" cm="1">
        <f t="array" ref="C3">COUNTA('T1V Manifest'!B2:B200)</f>
        <v>15</v>
      </c>
      <c r="D3" s="35" cm="1">
        <f t="array" ref="D3">SUM('T1V Manifest'!H2:H200)</f>
        <v>25</v>
      </c>
      <c r="E3" s="36" t="s">
        <v>331</v>
      </c>
      <c r="F3" s="5"/>
    </row>
    <row r="4" spans="1:6" ht="15" customHeight="1">
      <c r="A4" s="6" t="s">
        <v>223</v>
      </c>
      <c r="B4" s="7" t="s">
        <v>330</v>
      </c>
      <c r="C4" s="33" cm="1">
        <f t="array" ref="C4">COUNTA('T2 Manifest'!B2:B200)</f>
        <v>30</v>
      </c>
      <c r="D4" s="33" cm="1">
        <f t="array" ref="D4">SUM('T2 Manifest'!H2:H200)</f>
        <v>48</v>
      </c>
      <c r="E4" s="34" t="s">
        <v>331</v>
      </c>
      <c r="F4" s="5"/>
    </row>
    <row r="5" spans="1:6" ht="15" customHeight="1">
      <c r="A5" s="11" t="s">
        <v>227</v>
      </c>
      <c r="B5" s="12" t="s">
        <v>330</v>
      </c>
      <c r="C5" s="35" cm="1">
        <f t="array" ref="C5">COUNTA('T3 Manifest'!B2:B200)</f>
        <v>42</v>
      </c>
      <c r="D5" s="35" cm="1">
        <f t="array" ref="D5">SUM('T3 Manifest'!H2:H200)</f>
        <v>79</v>
      </c>
      <c r="E5" s="36" t="s">
        <v>332</v>
      </c>
      <c r="F5" s="5"/>
    </row>
    <row r="6" spans="1:6" ht="15" customHeight="1">
      <c r="A6" s="6" t="s">
        <v>216</v>
      </c>
      <c r="B6" s="7" t="s">
        <v>6</v>
      </c>
      <c r="C6" s="33" cm="1">
        <f t="array" ref="C6">COUNTA('T1 Robe Manifest'!B2:B200)</f>
        <v>8</v>
      </c>
      <c r="D6" s="33" cm="1">
        <f t="array" ref="D6">SUM('T1 Robe Manifest'!H2:H200)</f>
        <v>13</v>
      </c>
      <c r="E6" s="34" t="s">
        <v>333</v>
      </c>
      <c r="F6" s="5"/>
    </row>
    <row r="7" spans="1:6" ht="15" customHeight="1">
      <c r="A7" s="11" t="s">
        <v>220</v>
      </c>
      <c r="B7" s="12" t="s">
        <v>6</v>
      </c>
      <c r="C7" s="35" cm="1">
        <f t="array" ref="C7">COUNTA('T1V Robe Manifest'!B2:B200)</f>
        <v>8</v>
      </c>
      <c r="D7" s="35" cm="1">
        <f t="array" ref="D7">SUM('T1V Robe Manifest'!H2:H200)</f>
        <v>13</v>
      </c>
      <c r="E7" s="36" t="s">
        <v>333</v>
      </c>
      <c r="F7" s="5"/>
    </row>
    <row r="8" spans="1:6" ht="15" customHeight="1">
      <c r="A8" s="6" t="s">
        <v>224</v>
      </c>
      <c r="B8" s="7" t="s">
        <v>6</v>
      </c>
      <c r="C8" s="33" cm="1">
        <f t="array" ref="C8">COUNTA('T2 Robe Manifest'!B2:B200)</f>
        <v>8</v>
      </c>
      <c r="D8" s="33" cm="1">
        <f t="array" ref="D8">SUM('T2 Robe Manifest'!H2:H200)</f>
        <v>14</v>
      </c>
      <c r="E8" s="34" t="s">
        <v>333</v>
      </c>
      <c r="F8" s="5"/>
    </row>
    <row r="9" spans="1:6" ht="15" customHeight="1">
      <c r="A9" s="11" t="s">
        <v>228</v>
      </c>
      <c r="B9" s="12" t="s">
        <v>6</v>
      </c>
      <c r="C9" s="35" cm="1">
        <f t="array" ref="C9">COUNTA('T3 Robe Manifest'!B2:B200)</f>
        <v>8</v>
      </c>
      <c r="D9" s="35" cm="1">
        <f t="array" ref="D9">SUM('T3 Robe Manifest'!H2:H200)</f>
        <v>17</v>
      </c>
      <c r="E9" s="36" t="s">
        <v>333</v>
      </c>
      <c r="F9" s="5"/>
    </row>
    <row r="10" spans="1:6" ht="13.5" customHeight="1">
      <c r="A10" s="16"/>
      <c r="B10" s="16"/>
      <c r="C10" s="16"/>
      <c r="D10" s="16"/>
      <c r="E10" s="16"/>
      <c r="F10" s="1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9"/>
  <sheetViews>
    <sheetView showGridLines="0" workbookViewId="0"/>
  </sheetViews>
  <sheetFormatPr defaultColWidth="8.875" defaultRowHeight="15" customHeight="1"/>
  <cols>
    <col min="1" max="1" width="28" style="1" customWidth="1"/>
    <col min="2" max="2" width="18" style="1" customWidth="1"/>
    <col min="3" max="3" width="5" style="1" customWidth="1"/>
    <col min="4" max="4" width="14" style="1" customWidth="1"/>
    <col min="5" max="8" width="12" style="1" customWidth="1"/>
    <col min="9" max="20" width="8.875" style="1" customWidth="1"/>
    <col min="21" max="16384" width="8.875" style="1"/>
  </cols>
  <sheetData>
    <row r="1" spans="1:19" ht="16.7" customHeight="1">
      <c r="A1" s="59" t="s">
        <v>334</v>
      </c>
      <c r="B1" s="60"/>
      <c r="C1" s="60"/>
      <c r="D1" s="60"/>
      <c r="E1" s="60"/>
      <c r="F1" s="60"/>
      <c r="G1" s="60"/>
      <c r="H1" s="60"/>
      <c r="I1" s="43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ht="13.5" customHeight="1">
      <c r="A2" s="44"/>
      <c r="B2" s="44"/>
      <c r="C2" s="45"/>
      <c r="D2" s="44"/>
      <c r="E2" s="44"/>
      <c r="F2" s="44"/>
      <c r="G2" s="44"/>
      <c r="H2" s="44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ht="15" customHeight="1">
      <c r="A3" s="46" t="s">
        <v>335</v>
      </c>
      <c r="B3" s="47" t="s">
        <v>336</v>
      </c>
      <c r="C3" s="48"/>
      <c r="D3" s="47" t="s">
        <v>4</v>
      </c>
      <c r="E3" s="47" t="s">
        <v>337</v>
      </c>
      <c r="F3" s="47" t="s">
        <v>338</v>
      </c>
      <c r="G3" s="47" t="s">
        <v>78</v>
      </c>
      <c r="H3" s="47" t="s">
        <v>339</v>
      </c>
      <c r="I3" s="43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ht="15" customHeight="1">
      <c r="A4" s="49" t="s">
        <v>340</v>
      </c>
      <c r="B4" s="50" cm="1">
        <f t="array" ref="B4">COUNTA(_xlfn.UNIQUE('Quantity Sheet'!B2:B41))</f>
        <v>2</v>
      </c>
      <c r="C4" s="17"/>
      <c r="D4" s="49" t="s">
        <v>14</v>
      </c>
      <c r="E4" s="50" cm="1">
        <f t="array" ref="E4">COUNTIF('Quantity Sheet'!$E$2:$E$41,D4)</f>
        <v>9</v>
      </c>
      <c r="F4" s="50" cm="1">
        <f t="array" ref="F4">SUMIF('Quantity Sheet'!$E$2:$E$41,D4,'Quantity Sheet'!$F$2:$F$41)</f>
        <v>9</v>
      </c>
      <c r="G4" s="50" cm="1">
        <f t="array" ref="G4">SUMIF('Quantity Sheet'!$E$2:$E$41,D4,'Quantity Sheet'!$G$2:$G$41)</f>
        <v>9</v>
      </c>
      <c r="H4" s="50" cm="1">
        <f t="array" ref="H4">SUMIF('Quantity Sheet'!$E$2:$E$41,D4,'Quantity Sheet'!$H$2:$H$41)</f>
        <v>9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19" ht="15" customHeight="1">
      <c r="A5" s="51" t="s">
        <v>341</v>
      </c>
      <c r="B5" s="52" cm="1">
        <f t="array" ref="B5">SUM('Quantity Sheet'!F2:F41)</f>
        <v>40</v>
      </c>
      <c r="C5" s="17"/>
      <c r="D5" s="51" t="s">
        <v>15</v>
      </c>
      <c r="E5" s="52" cm="1">
        <f t="array" ref="E5">COUNTIF('Quantity Sheet'!$E$2:$E$41,D5)</f>
        <v>7</v>
      </c>
      <c r="F5" s="52" cm="1">
        <f t="array" ref="F5">SUMIF('Quantity Sheet'!$E$2:$E$41,D5,'Quantity Sheet'!$F$2:$F$41)</f>
        <v>7</v>
      </c>
      <c r="G5" s="52" cm="1">
        <f t="array" ref="G5">SUMIF('Quantity Sheet'!$E$2:$E$41,D5,'Quantity Sheet'!$G$2:$G$41)</f>
        <v>7</v>
      </c>
      <c r="H5" s="52" cm="1">
        <f t="array" ref="H5">SUMIF('Quantity Sheet'!$E$2:$E$41,D5,'Quantity Sheet'!$H$2:$H$41)</f>
        <v>0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ht="15" customHeight="1">
      <c r="A6" s="51" t="s">
        <v>342</v>
      </c>
      <c r="B6" s="52" cm="1">
        <f t="array" ref="B6">SUM('Quantity Sheet'!G2:G41)</f>
        <v>74</v>
      </c>
      <c r="C6" s="17"/>
      <c r="D6" s="51" t="s">
        <v>13</v>
      </c>
      <c r="E6" s="52" cm="1">
        <f t="array" ref="E6">COUNTIF('Quantity Sheet'!$E$2:$E$41,D6)</f>
        <v>14</v>
      </c>
      <c r="F6" s="52" cm="1">
        <f t="array" ref="F6">SUMIF('Quantity Sheet'!$E$2:$E$41,D6,'Quantity Sheet'!$F$2:$F$41)</f>
        <v>14</v>
      </c>
      <c r="G6" s="52" cm="1">
        <f t="array" ref="G6">SUMIF('Quantity Sheet'!$E$2:$E$41,D6,'Quantity Sheet'!$G$2:$G$41)</f>
        <v>28</v>
      </c>
      <c r="H6" s="52" cm="1">
        <f t="array" ref="H6">SUMIF('Quantity Sheet'!$E$2:$E$41,D6,'Quantity Sheet'!$H$2:$H$41)</f>
        <v>14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pans="1:19" ht="15" customHeight="1">
      <c r="A7" s="51" t="s">
        <v>343</v>
      </c>
      <c r="B7" s="52" cm="1">
        <f t="array" ref="B7">SUM('Quantity Sheet'!H2:H41)</f>
        <v>33</v>
      </c>
      <c r="C7" s="17"/>
      <c r="D7" s="53" t="s">
        <v>12</v>
      </c>
      <c r="E7" s="54" cm="1">
        <f t="array" ref="E7">COUNTIF('Quantity Sheet'!$E$2:$E$41,D7)</f>
        <v>10</v>
      </c>
      <c r="F7" s="54" cm="1">
        <f t="array" ref="F7">SUMIF('Quantity Sheet'!$E$2:$E$41,D7,'Quantity Sheet'!$F$2:$F$41)</f>
        <v>10</v>
      </c>
      <c r="G7" s="54" cm="1">
        <f t="array" ref="G7">SUMIF('Quantity Sheet'!$E$2:$E$41,D7,'Quantity Sheet'!$G$2:$G$41)</f>
        <v>30</v>
      </c>
      <c r="H7" s="54" cm="1">
        <f t="array" ref="H7">SUMIF('Quantity Sheet'!$E$2:$E$41,D7,'Quantity Sheet'!$H$2:$H$41)</f>
        <v>10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19" ht="15" customHeight="1">
      <c r="A8" s="51" t="s">
        <v>344</v>
      </c>
      <c r="B8" s="52" cm="1">
        <f t="array" ref="B8">SUM('Quantity Sheet'!I2:I41)</f>
        <v>10</v>
      </c>
      <c r="C8" s="55"/>
      <c r="D8" s="56" t="s">
        <v>345</v>
      </c>
      <c r="E8" s="57" cm="1">
        <f t="array" ref="E8">SUM(E4:E7)</f>
        <v>40</v>
      </c>
      <c r="F8" s="57" cm="1">
        <f t="array" ref="F8">SUM(F4:F7)</f>
        <v>40</v>
      </c>
      <c r="G8" s="57" cm="1">
        <f t="array" ref="G8">SUM(G4:G7)</f>
        <v>74</v>
      </c>
      <c r="H8" s="57" cm="1">
        <f t="array" ref="H8">SUM(H4:H7)</f>
        <v>33</v>
      </c>
      <c r="I8" s="43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ht="15" customHeight="1">
      <c r="A9" s="51" t="s">
        <v>346</v>
      </c>
      <c r="B9" s="52" cm="1">
        <f t="array" ref="B9">SUM('Quantity Sheet'!J2:J41)</f>
        <v>10</v>
      </c>
      <c r="C9" s="17"/>
      <c r="D9" s="45"/>
      <c r="E9" s="45"/>
      <c r="F9" s="45"/>
      <c r="G9" s="45"/>
      <c r="H9" s="45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19" ht="15" customHeight="1">
      <c r="A10" s="51" t="s">
        <v>347</v>
      </c>
      <c r="B10" s="52">
        <v>4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ht="15" customHeight="1">
      <c r="A11" s="51" t="s">
        <v>348</v>
      </c>
      <c r="B11" s="52">
        <v>4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ht="13.5" customHeight="1">
      <c r="A12" s="58"/>
      <c r="B12" s="58"/>
      <c r="C12" s="58"/>
      <c r="D12" s="58"/>
      <c r="E12" s="58"/>
      <c r="F12" s="58"/>
      <c r="G12" s="58"/>
      <c r="H12" s="58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19" ht="105.6" customHeight="1">
      <c r="A13" s="61" t="s">
        <v>349</v>
      </c>
      <c r="B13" s="62"/>
      <c r="C13" s="62"/>
      <c r="D13" s="62"/>
      <c r="E13" s="62"/>
      <c r="F13" s="62"/>
      <c r="G13" s="62"/>
      <c r="H13" s="62"/>
      <c r="I13" s="43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19" ht="15" customHeight="1">
      <c r="A14" s="63"/>
      <c r="B14" s="62"/>
      <c r="C14" s="62"/>
      <c r="D14" s="62"/>
      <c r="E14" s="62"/>
      <c r="F14" s="62"/>
      <c r="G14" s="62"/>
      <c r="H14" s="62"/>
      <c r="I14" s="43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pans="1:19" ht="15" customHeight="1">
      <c r="A15" s="63"/>
      <c r="B15" s="62"/>
      <c r="C15" s="62"/>
      <c r="D15" s="62"/>
      <c r="E15" s="62"/>
      <c r="F15" s="62"/>
      <c r="G15" s="62"/>
      <c r="H15" s="62"/>
      <c r="I15" s="43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ht="13.5" customHeight="1">
      <c r="A16" s="45"/>
      <c r="B16" s="45"/>
      <c r="C16" s="45"/>
      <c r="D16" s="45"/>
      <c r="E16" s="45"/>
      <c r="F16" s="45"/>
      <c r="G16" s="45"/>
      <c r="H16" s="45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19" ht="13.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19" ht="13.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1:19" ht="13.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</sheetData>
  <mergeCells count="2">
    <mergeCell ref="A1:H1"/>
    <mergeCell ref="A13:H15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Quantity Sheet</vt:lpstr>
      <vt:lpstr>Spec Sheet</vt:lpstr>
      <vt:lpstr>T1 Manifest</vt:lpstr>
      <vt:lpstr>T1V Manifest</vt:lpstr>
      <vt:lpstr>T2 Manifest</vt:lpstr>
      <vt:lpstr>T3 Manifest</vt:lpstr>
      <vt:lpstr>T1 Robe Manifest</vt:lpstr>
      <vt:lpstr>T1V Robe Manifest</vt:lpstr>
      <vt:lpstr>T2 Robe Manifest</vt:lpstr>
      <vt:lpstr>T3 Robe Manifest</vt:lpstr>
      <vt:lpstr>Type Mapping</vt:lpstr>
      <vt:lpstr>Demo Delivery Schedule</vt:lpstr>
      <vt:lpstr>Task Schedule Template</vt:lpstr>
      <vt:lpstr>Manifest Summary</vt:lpstr>
      <vt:lpstr>Demo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Thisaru Nadeeshan</cp:lastModifiedBy>
  <dcterms:modified xsi:type="dcterms:W3CDTF">2026-06-02T14:23:31Z</dcterms:modified>
</cp:coreProperties>
</file>